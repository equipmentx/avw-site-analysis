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ver Page ----&gt;" sheetId="1" r:id="rId4"/>
    <sheet name="Key Assumptions &amp; Drivers" sheetId="2" r:id="rId5"/>
    <sheet name="Summary P&amp;L" sheetId="3" r:id="rId6"/>
    <sheet name="Balance Sheet" sheetId="4" r:id="rId7"/>
    <sheet name="Cash Flow" sheetId="5" r:id="rId8"/>
    <sheet name="Notes to FS ----&gt;" sheetId="6" r:id="rId9"/>
    <sheet name="Notes A&amp;B - Revenue &amp; COGS" sheetId="7" r:id="rId10"/>
    <sheet name="Note C - SG&amp;A" sheetId="8" r:id="rId11"/>
    <sheet name="Note D - PPE" sheetId="9" r:id="rId12"/>
    <sheet name="Note E - Loan Amortization" sheetId="10" r:id="rId13"/>
    <sheet name="Note F - Other analysis" sheetId="11" r:id="rId14"/>
  </sheets>
</workbook>
</file>

<file path=xl/sharedStrings.xml><?xml version="1.0" encoding="utf-8"?>
<sst xmlns="http://schemas.openxmlformats.org/spreadsheetml/2006/main" uniqueCount="317">
  <si>
    <t>August 2017</t>
  </si>
  <si>
    <t>Name</t>
  </si>
  <si>
    <t>Key Assumptions &amp; Drivers</t>
  </si>
  <si>
    <t>Revenue &amp; Traffic Assumptions</t>
  </si>
  <si>
    <t>Traffic Conversion</t>
  </si>
  <si>
    <t>Daily Traffic Counts:</t>
  </si>
  <si>
    <t>Annual Traffic Escalator</t>
  </si>
  <si>
    <t>Days Operational / Month</t>
  </si>
  <si>
    <t>Discounts/Coupons</t>
  </si>
  <si>
    <t>CC Processing Fees</t>
  </si>
  <si>
    <t>Var Chem</t>
  </si>
  <si>
    <t>% of</t>
  </si>
  <si>
    <t>Pricing Options</t>
  </si>
  <si>
    <t>Price</t>
  </si>
  <si>
    <t>Costs</t>
  </si>
  <si>
    <t>Washes</t>
  </si>
  <si>
    <t xml:space="preserve">Bronze </t>
  </si>
  <si>
    <t>Silver</t>
  </si>
  <si>
    <t>Gold</t>
  </si>
  <si>
    <t>Best In Class</t>
  </si>
  <si>
    <t>Wtd Average / Car</t>
  </si>
  <si>
    <t>Gold Unlimited</t>
  </si>
  <si>
    <t>BIC Unlimited</t>
  </si>
  <si>
    <t>Wtd Average (Price / Var Chem Cost)</t>
  </si>
  <si>
    <t>Average Wash / Month</t>
  </si>
  <si>
    <t>New Net Subscribers</t>
  </si>
  <si>
    <t>%</t>
  </si>
  <si>
    <t>Total Net Subscribers</t>
  </si>
  <si>
    <t>Annual Growth Rate 2019+</t>
  </si>
  <si>
    <t>6 Months</t>
  </si>
  <si>
    <t>Imputed Capture:</t>
  </si>
  <si>
    <t>Construction</t>
  </si>
  <si>
    <t>Capture Rate</t>
  </si>
  <si>
    <t>Cars Captured Daily</t>
  </si>
  <si>
    <t>Cars Captured by Period</t>
  </si>
  <si>
    <t>Unlimited Cars by Period</t>
  </si>
  <si>
    <t>Total Cars Washed</t>
  </si>
  <si>
    <t>Implied Capture Rate</t>
  </si>
  <si>
    <t>Revenue Mix</t>
  </si>
  <si>
    <t>Cars Captured</t>
  </si>
  <si>
    <t>Unlimited Plan</t>
  </si>
  <si>
    <t>Implied Average Variable Cost</t>
  </si>
  <si>
    <t>Operating Expenses</t>
  </si>
  <si>
    <t>Total Variable Costs (Excl Chemicals)</t>
  </si>
  <si>
    <t>Utilities</t>
  </si>
  <si>
    <t>Repairs &amp; Maint</t>
  </si>
  <si>
    <t>Auto Claims</t>
  </si>
  <si>
    <t xml:space="preserve"> </t>
  </si>
  <si>
    <t>Supplies</t>
  </si>
  <si>
    <t>Wtd Avg Chem Cost</t>
  </si>
  <si>
    <t>Utilities Water (COGS)</t>
  </si>
  <si>
    <t>Utilities Other (SG&amp;A)</t>
  </si>
  <si>
    <t>R&amp;M (COGS)</t>
  </si>
  <si>
    <t>R&amp;M (SG&amp;A)</t>
  </si>
  <si>
    <t>Depreciation (Yrs)</t>
  </si>
  <si>
    <t xml:space="preserve">  Land</t>
  </si>
  <si>
    <t>N/A</t>
  </si>
  <si>
    <t xml:space="preserve">  Building </t>
  </si>
  <si>
    <t xml:space="preserve">  Equipment</t>
  </si>
  <si>
    <t>SG&amp;A Assumptions</t>
  </si>
  <si>
    <t>Marketing One Time</t>
  </si>
  <si>
    <t>Marketing Recurring (Monthly)</t>
  </si>
  <si>
    <t>Bank Charges (Monthly)</t>
  </si>
  <si>
    <t>Insurance-Gen Liab. (Annual)</t>
  </si>
  <si>
    <t>Office/Misc (Monthly)</t>
  </si>
  <si>
    <t>Computer/Internet (Monthly)</t>
  </si>
  <si>
    <t>Salary Assumptions</t>
  </si>
  <si>
    <t>Hourly</t>
  </si>
  <si>
    <t>Hours</t>
  </si>
  <si>
    <t>Raise</t>
  </si>
  <si>
    <t>% SG&amp;A</t>
  </si>
  <si>
    <t>Rate</t>
  </si>
  <si>
    <t>/ Year</t>
  </si>
  <si>
    <t>Year 2</t>
  </si>
  <si>
    <t>Year 3</t>
  </si>
  <si>
    <t>Year 4</t>
  </si>
  <si>
    <t>Year 5</t>
  </si>
  <si>
    <t>Site Manager</t>
  </si>
  <si>
    <t>Part Time</t>
  </si>
  <si>
    <t>Full Time</t>
  </si>
  <si>
    <t>Burden - Taxes</t>
  </si>
  <si>
    <t>Burden - Benefits Load</t>
  </si>
  <si>
    <t>Capex &amp; PPE</t>
  </si>
  <si>
    <t>Land Acquistion</t>
  </si>
  <si>
    <t>Tap / City Fees 1.5'</t>
  </si>
  <si>
    <t>Site Improvements/ Demo</t>
  </si>
  <si>
    <t>Equipment Subtotal</t>
  </si>
  <si>
    <t>Constr Contingency</t>
  </si>
  <si>
    <t>Total Project Cost</t>
  </si>
  <si>
    <t>Car Wash Reinvestment (YR 1)</t>
  </si>
  <si>
    <t>Car Wash Reinvestment (YR 2-5)</t>
  </si>
  <si>
    <t>Land Value Escalator</t>
  </si>
  <si>
    <t>Property Tax</t>
  </si>
  <si>
    <t>Financing &amp; Equity Assumptions</t>
  </si>
  <si>
    <t>Down Payment (%)</t>
  </si>
  <si>
    <t>Down Payment ($)</t>
  </si>
  <si>
    <t>Loan Details</t>
  </si>
  <si>
    <t>Loan Amount</t>
  </si>
  <si>
    <t>Loan Fees</t>
  </si>
  <si>
    <t>Annual Loan Fee Amort</t>
  </si>
  <si>
    <t>Loan Proceeds (Net of Fees)</t>
  </si>
  <si>
    <t>Annual interest rate</t>
  </si>
  <si>
    <t>Loan period in years</t>
  </si>
  <si>
    <t>Number of payments per year</t>
  </si>
  <si>
    <t>Start date of loan</t>
  </si>
  <si>
    <t>Optional extra payments</t>
  </si>
  <si>
    <t>Equity Details</t>
  </si>
  <si>
    <t>Additional Equity / Working Cap</t>
  </si>
  <si>
    <t>Down Payment</t>
  </si>
  <si>
    <t>Total Equity Contributed</t>
  </si>
  <si>
    <t>Draws / Owner Taxes</t>
  </si>
  <si>
    <t>Min Cash Check</t>
  </si>
  <si>
    <t>STATEMENT OF OPERATIONS</t>
  </si>
  <si>
    <t>Note</t>
  </si>
  <si>
    <t>Year 1</t>
  </si>
  <si>
    <t>(est.)</t>
  </si>
  <si>
    <t>Revenue</t>
  </si>
  <si>
    <t>A.</t>
  </si>
  <si>
    <t>% Change</t>
  </si>
  <si>
    <t>NM</t>
  </si>
  <si>
    <t>COGS</t>
  </si>
  <si>
    <t>B.</t>
  </si>
  <si>
    <t>Gross Profit</t>
  </si>
  <si>
    <t>Margin %</t>
  </si>
  <si>
    <t>NA</t>
  </si>
  <si>
    <t>SG&amp;A</t>
  </si>
  <si>
    <t>C.</t>
  </si>
  <si>
    <t>SG&amp;A %</t>
  </si>
  <si>
    <t>EBIT (Operating Profit)</t>
  </si>
  <si>
    <t>Depr &amp; Adjustments</t>
  </si>
  <si>
    <t>D.</t>
  </si>
  <si>
    <t>Adj. EBITDA</t>
  </si>
  <si>
    <t>Interest</t>
  </si>
  <si>
    <t>E.</t>
  </si>
  <si>
    <t>Fees</t>
  </si>
  <si>
    <t>Earnings before Taxes</t>
  </si>
  <si>
    <t>Taxes - No Corp. Tax</t>
  </si>
  <si>
    <t>n/a</t>
  </si>
  <si>
    <t>Net Income/(Loss)</t>
  </si>
  <si>
    <t>BALANCE SHEETS</t>
  </si>
  <si>
    <t>Opening</t>
  </si>
  <si>
    <t>Current Assets</t>
  </si>
  <si>
    <t xml:space="preserve">  Cash</t>
  </si>
  <si>
    <t xml:space="preserve">  AR</t>
  </si>
  <si>
    <t xml:space="preserve">  Inventory</t>
  </si>
  <si>
    <t xml:space="preserve">  Prepaids</t>
  </si>
  <si>
    <t>Total Current Assets</t>
  </si>
  <si>
    <t>PP&amp;E</t>
  </si>
  <si>
    <t xml:space="preserve">  Less Acc Dep</t>
  </si>
  <si>
    <t>Net PP&amp;E</t>
  </si>
  <si>
    <t>Financing Fee</t>
  </si>
  <si>
    <t>Total Assets</t>
  </si>
  <si>
    <t>Current Liabilities</t>
  </si>
  <si>
    <t xml:space="preserve">  AP</t>
  </si>
  <si>
    <t xml:space="preserve">  Accrued</t>
  </si>
  <si>
    <t xml:space="preserve">  Gift Cards</t>
  </si>
  <si>
    <t>Total Current Liabilities</t>
  </si>
  <si>
    <t>Bank Loan - 20 years @ 4.75%</t>
  </si>
  <si>
    <t>Total Liabilities</t>
  </si>
  <si>
    <t>Shareholders Equity</t>
  </si>
  <si>
    <t xml:space="preserve">  Contributed Capital</t>
  </si>
  <si>
    <t xml:space="preserve">  Draws - Owner Taxes</t>
  </si>
  <si>
    <t xml:space="preserve">  Draws - Cumulative</t>
  </si>
  <si>
    <t xml:space="preserve">  Retained Earnings - Current</t>
  </si>
  <si>
    <t xml:space="preserve">  Ret. Earnings Cumulative</t>
  </si>
  <si>
    <t>Total Liabilities &amp; Inv. Equity</t>
  </si>
  <si>
    <t>chk</t>
  </si>
  <si>
    <t>STATEMENT OF CASH FLOWS</t>
  </si>
  <si>
    <t>Net Earnings</t>
  </si>
  <si>
    <t>Depreciation and Amortization</t>
  </si>
  <si>
    <t>Changes in Other Assests/Liabilities</t>
  </si>
  <si>
    <t>Net Cash from Operations</t>
  </si>
  <si>
    <t>Investments</t>
  </si>
  <si>
    <t>Purchase of PP&amp;E</t>
  </si>
  <si>
    <t>Financing transactions</t>
  </si>
  <si>
    <t>Gross Loan Proceeds</t>
  </si>
  <si>
    <t xml:space="preserve">  Payback of Bank Loans</t>
  </si>
  <si>
    <t>Net Financing Transactions</t>
  </si>
  <si>
    <t>Equity Transactions</t>
  </si>
  <si>
    <t>Cont/Draws</t>
  </si>
  <si>
    <t>Working Cap</t>
  </si>
  <si>
    <t>Draw - Taxes</t>
  </si>
  <si>
    <t>Net Change in Cash</t>
  </si>
  <si>
    <t>Cash End of Period</t>
  </si>
  <si>
    <t xml:space="preserve"> - Notes &amp; Support to Financial Statements</t>
  </si>
  <si>
    <t>NOTES A &amp; B TO FINANCIAL STATEMENTS</t>
  </si>
  <si>
    <t>Revenue - Note A</t>
  </si>
  <si>
    <t>Number of Cars Captured</t>
  </si>
  <si>
    <t>Avg Price per Car</t>
  </si>
  <si>
    <t>Total Subscribers</t>
  </si>
  <si>
    <t>Average Price / Subscriber</t>
  </si>
  <si>
    <t>Revenue from Car Wash</t>
  </si>
  <si>
    <t>Merchandise Revenue</t>
  </si>
  <si>
    <t>Total Revenue</t>
  </si>
  <si>
    <t>Less:</t>
  </si>
  <si>
    <t>CC Processing (% of Rev.)</t>
  </si>
  <si>
    <t>Merchandise Cost</t>
  </si>
  <si>
    <t>Net Revenue</t>
  </si>
  <si>
    <t>COGS - Note B</t>
  </si>
  <si>
    <t>Variable Cost</t>
  </si>
  <si>
    <t>Note F</t>
  </si>
  <si>
    <t>Direct Labor &amp; Burden</t>
  </si>
  <si>
    <t>R&amp;M</t>
  </si>
  <si>
    <t>Total Variable Cost</t>
  </si>
  <si>
    <t>Total Variable Margin</t>
  </si>
  <si>
    <t xml:space="preserve">     Variable Margin %</t>
  </si>
  <si>
    <t>Other Cost of Goods sold</t>
  </si>
  <si>
    <t>Depreciation of PP&amp;E</t>
  </si>
  <si>
    <t>Note D</t>
  </si>
  <si>
    <t>Property Taxes</t>
  </si>
  <si>
    <t>Total Other COGS</t>
  </si>
  <si>
    <t>Total Gross Margin</t>
  </si>
  <si>
    <t xml:space="preserve">     Gross Margin %</t>
  </si>
  <si>
    <t>NOTE C TO FINANCIAL STATEMENTS</t>
  </si>
  <si>
    <t>SGA Note C</t>
  </si>
  <si>
    <t>Employee Cost</t>
  </si>
  <si>
    <t xml:space="preserve">    Salaries</t>
  </si>
  <si>
    <t>See below</t>
  </si>
  <si>
    <t xml:space="preserve">    Burden - Taxes</t>
  </si>
  <si>
    <t xml:space="preserve">    Burden - Benefits Load</t>
  </si>
  <si>
    <t>Total Payroll Cost</t>
  </si>
  <si>
    <t>Total Payroll to SG&amp;A</t>
  </si>
  <si>
    <t>Chg @ Note A</t>
  </si>
  <si>
    <t>Other SGA</t>
  </si>
  <si>
    <t>Marketing</t>
  </si>
  <si>
    <t>Bank Charges</t>
  </si>
  <si>
    <t>Insurance-Gen Liab.</t>
  </si>
  <si>
    <t>Office/Misc</t>
  </si>
  <si>
    <t>Computer/Internet</t>
  </si>
  <si>
    <t>Total Other SG&amp;A</t>
  </si>
  <si>
    <t>Total SG&amp;A</t>
  </si>
  <si>
    <t xml:space="preserve">        SGA % of sales</t>
  </si>
  <si>
    <t>Employee Assumptions</t>
  </si>
  <si>
    <t>Hourly Pay</t>
  </si>
  <si>
    <r>
      <rPr>
        <sz val="10"/>
        <color indexed="8"/>
        <rFont val="Calibri"/>
      </rPr>
      <t>Site Manager</t>
    </r>
  </si>
  <si>
    <t>Chg @ T35</t>
  </si>
  <si>
    <t>Hours/Year</t>
  </si>
  <si>
    <r>
      <rPr>
        <sz val="10"/>
        <color indexed="8"/>
        <rFont val="Calibri"/>
      </rPr>
      <t>Part Time</t>
    </r>
  </si>
  <si>
    <t>Chg @ T38</t>
  </si>
  <si>
    <r>
      <rPr>
        <sz val="10"/>
        <color indexed="8"/>
        <rFont val="Calibri"/>
      </rPr>
      <t>Full Time</t>
    </r>
  </si>
  <si>
    <t>Chg @ T41</t>
  </si>
  <si>
    <t>Chg @ T44</t>
  </si>
  <si>
    <t>TOTAL</t>
  </si>
  <si>
    <t>Check</t>
  </si>
  <si>
    <t>NOTE D TO FINANCIAL STATEMENTS</t>
  </si>
  <si>
    <t>PPE</t>
  </si>
  <si>
    <t>CAPEX</t>
  </si>
  <si>
    <t>Land Value Per Books</t>
  </si>
  <si>
    <t>City Fees</t>
  </si>
  <si>
    <t>Land Value Per City</t>
  </si>
  <si>
    <t>Building</t>
  </si>
  <si>
    <t>Car Wash Equipment</t>
  </si>
  <si>
    <t>Construction Site</t>
  </si>
  <si>
    <t>Contingency Cushion</t>
  </si>
  <si>
    <t>Total</t>
  </si>
  <si>
    <t>Reinvest / CAPEX</t>
  </si>
  <si>
    <t>see below</t>
  </si>
  <si>
    <t>YR 1</t>
  </si>
  <si>
    <t>YR 2- 5</t>
  </si>
  <si>
    <t>Total CAPEX</t>
  </si>
  <si>
    <t>Est. Property Taxes</t>
  </si>
  <si>
    <t>Depreciation Pools</t>
  </si>
  <si>
    <t xml:space="preserve">  Building</t>
  </si>
  <si>
    <t>Totals</t>
  </si>
  <si>
    <t>Depreciation</t>
  </si>
  <si>
    <t>Useful Life (Yrs)</t>
  </si>
  <si>
    <r>
      <rPr>
        <sz val="10"/>
        <color indexed="8"/>
        <rFont val="Calibri"/>
      </rPr>
      <t>N/A</t>
    </r>
  </si>
  <si>
    <t>Cumulative Totals</t>
  </si>
  <si>
    <t>Major Purchases</t>
  </si>
  <si>
    <t>Land/Site Ready</t>
  </si>
  <si>
    <t>Building, Canopies &amp; Finishing</t>
  </si>
  <si>
    <t>Car wash equipment</t>
  </si>
  <si>
    <t xml:space="preserve">Construction - Site Work/Plumbing/Electric/Concrete/Permits </t>
  </si>
  <si>
    <t>Contingency Constr.</t>
  </si>
  <si>
    <t>Total Major Purchases</t>
  </si>
  <si>
    <t>NOTE E TO FINANCIAL STATEMENTS</t>
  </si>
  <si>
    <t>AMORTIZATION SCHEDULE</t>
  </si>
  <si>
    <t>Enter values</t>
  </si>
  <si>
    <t>Loan summary</t>
  </si>
  <si>
    <t>Loan amount</t>
  </si>
  <si>
    <t>Scheduled payment</t>
  </si>
  <si>
    <t>Scheduled number of payments</t>
  </si>
  <si>
    <t>Actual number of payments</t>
  </si>
  <si>
    <t>Total early payments</t>
  </si>
  <si>
    <t>Total interest</t>
  </si>
  <si>
    <t>Lender name:</t>
  </si>
  <si>
    <t>Commercial Bank</t>
  </si>
  <si>
    <t>Pmt. No.</t>
  </si>
  <si>
    <t>Payment Date</t>
  </si>
  <si>
    <t>Beginning Balance</t>
  </si>
  <si>
    <t>Scheduled Payment</t>
  </si>
  <si>
    <t>Pay / (Draw)</t>
  </si>
  <si>
    <t>Total Payment</t>
  </si>
  <si>
    <t>Principal</t>
  </si>
  <si>
    <t>Ending Balance</t>
  </si>
  <si>
    <t>Cumulative Interest</t>
  </si>
  <si>
    <t>Mo.</t>
  </si>
  <si>
    <t>NOTE F - OTHER ANALYSIS OF VARIABLE COSTS</t>
  </si>
  <si>
    <t>Variable Costs</t>
  </si>
  <si>
    <t>Total Number of Cars</t>
  </si>
  <si>
    <t>Implied Price / Car</t>
  </si>
  <si>
    <t>Revenue from Wash &amp; Subscribers</t>
  </si>
  <si>
    <t>Variable Cost / Car</t>
  </si>
  <si>
    <t>See Below</t>
  </si>
  <si>
    <t>Total Variable Cost / Period</t>
  </si>
  <si>
    <t>COGS / SG&amp;A</t>
  </si>
  <si>
    <t>Utilities COGS</t>
  </si>
  <si>
    <t>Utilities SG&amp;A</t>
  </si>
  <si>
    <t>Repairs &amp; Maint COGS</t>
  </si>
  <si>
    <t>Repairs &amp; Maint SG&amp;A</t>
  </si>
  <si>
    <t>Labor to COGS</t>
  </si>
  <si>
    <t>Labor</t>
  </si>
  <si>
    <t>Total Labor &amp; Burden COGS</t>
  </si>
  <si>
    <t>NOTE: WTD AVERAGE CHEM COST (DRIVEN BY REV MIX)</t>
  </si>
  <si>
    <t>Standard Wash</t>
  </si>
  <si>
    <t>Unlimited Wash</t>
  </si>
  <si>
    <t>Implied Avg Chem Cost / Car</t>
  </si>
</sst>
</file>

<file path=xl/styles.xml><?xml version="1.0" encoding="utf-8"?>
<styleSheet xmlns="http://schemas.openxmlformats.org/spreadsheetml/2006/main">
  <numFmts count="20">
    <numFmt numFmtId="0" formatCode="General"/>
    <numFmt numFmtId="59" formatCode="&quot; &quot;* #,##0&quot; &quot;;&quot; &quot;* (#,##0);&quot; &quot;* &quot;- &quot;"/>
    <numFmt numFmtId="60" formatCode="0.0%"/>
    <numFmt numFmtId="61" formatCode="&quot; &quot;&quot;$&quot;* #,##0.0&quot; &quot;;&quot; &quot;&quot;$&quot;* (#,##0.0);&quot; &quot;&quot;$&quot;* &quot;- &quot;"/>
    <numFmt numFmtId="62" formatCode="&quot; &quot;&quot;$&quot;* #,##0.00&quot; &quot;;&quot; &quot;&quot;$&quot;* (#,##0.00);&quot; &quot;&quot;$&quot;* &quot;- &quot;"/>
    <numFmt numFmtId="63" formatCode="&quot; &quot;* #,##0.0&quot; &quot;;&quot; &quot;* (#,##0.0);&quot; &quot;* &quot;- &quot;"/>
    <numFmt numFmtId="64" formatCode="&quot; &quot;* #,##0.00&quot; &quot;;&quot; &quot;* (#,##0.00);&quot; &quot;* &quot;- &quot;"/>
    <numFmt numFmtId="65" formatCode="#,##0.0&quot;x&quot;"/>
    <numFmt numFmtId="66" formatCode="&quot; &quot;&quot;$&quot;* #,##0&quot; &quot;;&quot; &quot;&quot;$&quot;* (#,##0);&quot; &quot;&quot;$&quot;* &quot;- &quot;"/>
    <numFmt numFmtId="67" formatCode="#,##0.00&quot;x&quot;"/>
    <numFmt numFmtId="68" formatCode="&quot; &quot;&quot;$&quot;* #,##0&quot; &quot;;&quot; &quot;&quot;$&quot;* (#,##0);&quot; &quot;&quot;$&quot;* &quot;-&quot;??&quot; &quot;"/>
    <numFmt numFmtId="69" formatCode="&quot; &quot;* #,##0&quot; &quot;;&quot; &quot;* (#,##0);&quot; &quot;* &quot;-&quot;??&quot; &quot;"/>
    <numFmt numFmtId="70" formatCode="&quot; &quot;&quot;$&quot;* #,##0.00&quot; &quot;;&quot; &quot;&quot;$&quot;* (#,##0.00);&quot; &quot;&quot;$&quot;* &quot;-&quot;??&quot; &quot;"/>
    <numFmt numFmtId="71" formatCode="&quot; &quot;* #,##0.00&quot; &quot;;&quot; &quot;* (#,##0.00);&quot; &quot;* &quot;-&quot;??&quot; &quot;"/>
    <numFmt numFmtId="72" formatCode="0&quot; &quot;;(0)"/>
    <numFmt numFmtId="73" formatCode="&quot;$&quot;#,##0&quot; &quot;;(&quot;$&quot;#,##0)"/>
    <numFmt numFmtId="74" formatCode="#,##0&quot; &quot;;(#,##0)"/>
    <numFmt numFmtId="75" formatCode="0.00?%&quot; &quot;"/>
    <numFmt numFmtId="76" formatCode="0&quot; &quot;"/>
    <numFmt numFmtId="77" formatCode="&quot;$&quot;#,##0.00&quot; &quot;;(&quot;$&quot;#,##0.00)"/>
  </numFmts>
  <fonts count="30">
    <font>
      <sz val="8"/>
      <color indexed="8"/>
      <name val="Sabon LT Std"/>
    </font>
    <font>
      <sz val="12"/>
      <color indexed="8"/>
      <name val="Helvetica Neue"/>
    </font>
    <font>
      <sz val="15"/>
      <color indexed="8"/>
      <name val="Calibri"/>
    </font>
    <font>
      <b val="1"/>
      <sz val="8"/>
      <color indexed="8"/>
      <name val="Arial"/>
    </font>
    <font>
      <b val="1"/>
      <sz val="18"/>
      <color indexed="8"/>
      <name val="Arial"/>
    </font>
    <font>
      <i val="1"/>
      <sz val="15"/>
      <color indexed="8"/>
      <name val="Arial"/>
    </font>
    <font>
      <b val="1"/>
      <sz val="10"/>
      <color indexed="8"/>
      <name val="Calibri"/>
    </font>
    <font>
      <b val="1"/>
      <i val="1"/>
      <sz val="10"/>
      <color indexed="8"/>
      <name val="Calibri"/>
    </font>
    <font>
      <b val="1"/>
      <sz val="10"/>
      <color indexed="9"/>
      <name val="Calibri"/>
    </font>
    <font>
      <sz val="10"/>
      <color indexed="13"/>
      <name val="Calibri"/>
    </font>
    <font>
      <sz val="10"/>
      <color indexed="8"/>
      <name val="Calibri"/>
    </font>
    <font>
      <sz val="10"/>
      <color indexed="9"/>
      <name val="Calibri"/>
    </font>
    <font>
      <i val="1"/>
      <sz val="10"/>
      <color indexed="8"/>
      <name val="Calibri"/>
    </font>
    <font>
      <i val="1"/>
      <sz val="8"/>
      <color indexed="8"/>
      <name val="Calibri"/>
    </font>
    <font>
      <i val="1"/>
      <sz val="8"/>
      <color indexed="17"/>
      <name val="Calibri"/>
    </font>
    <font>
      <sz val="9"/>
      <color indexed="9"/>
      <name val="Arial"/>
    </font>
    <font>
      <sz val="8"/>
      <color indexed="17"/>
      <name val="Calibri"/>
    </font>
    <font>
      <b val="1"/>
      <sz val="8"/>
      <color indexed="8"/>
      <name val="Calibri"/>
    </font>
    <font>
      <i val="1"/>
      <sz val="8"/>
      <color indexed="9"/>
      <name val="Calibri"/>
    </font>
    <font>
      <b val="1"/>
      <u val="single"/>
      <sz val="10"/>
      <color indexed="8"/>
      <name val="Calibri"/>
    </font>
    <font>
      <sz val="10"/>
      <color indexed="23"/>
      <name val="Calibri"/>
    </font>
    <font>
      <i val="1"/>
      <sz val="10"/>
      <color indexed="23"/>
      <name val="Calibri"/>
    </font>
    <font>
      <u val="single"/>
      <sz val="10"/>
      <color indexed="8"/>
      <name val="Calibri"/>
    </font>
    <font>
      <i val="1"/>
      <sz val="9"/>
      <color indexed="8"/>
      <name val="Calibri"/>
    </font>
    <font>
      <b val="1"/>
      <sz val="10"/>
      <color indexed="8"/>
      <name val="Arial"/>
    </font>
    <font>
      <b val="1"/>
      <sz val="9"/>
      <color indexed="8"/>
      <name val="Arial"/>
    </font>
    <font>
      <b val="1"/>
      <sz val="10"/>
      <color indexed="32"/>
      <name val="Calibri"/>
    </font>
    <font>
      <sz val="11"/>
      <color indexed="8"/>
      <name val="Calibri"/>
    </font>
    <font>
      <sz val="10"/>
      <color indexed="14"/>
      <name val="Calibri"/>
    </font>
    <font>
      <sz val="8"/>
      <color indexed="8"/>
      <name val="Calibri"/>
    </font>
  </fonts>
  <fills count="1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30"/>
        <bgColor auto="1"/>
      </patternFill>
    </fill>
  </fills>
  <borders count="11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/>
      <top/>
      <bottom style="medium">
        <color indexed="9"/>
      </bottom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 style="thin">
        <color indexed="10"/>
      </right>
      <top/>
      <bottom/>
      <diagonal/>
    </border>
    <border>
      <left/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/>
      <bottom/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/>
      <right/>
      <top/>
      <bottom style="thin">
        <color indexed="15"/>
      </bottom>
      <diagonal/>
    </border>
    <border>
      <left/>
      <right/>
      <top style="thin">
        <color indexed="15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thin">
        <color indexed="8"/>
      </bottom>
      <diagonal/>
    </border>
    <border>
      <left/>
      <right style="thin">
        <color indexed="14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14"/>
      </right>
      <top style="thin">
        <color indexed="8"/>
      </top>
      <bottom/>
      <diagonal/>
    </border>
    <border>
      <left style="medium">
        <color indexed="9"/>
      </left>
      <right/>
      <top/>
      <bottom style="medium">
        <color indexed="9"/>
      </bottom>
      <diagonal/>
    </border>
    <border>
      <left/>
      <right style="thin">
        <color indexed="14"/>
      </right>
      <top/>
      <bottom style="medium">
        <color indexed="9"/>
      </bottom>
      <diagonal/>
    </border>
    <border>
      <left/>
      <right style="thin">
        <color indexed="14"/>
      </right>
      <top style="medium">
        <color indexed="9"/>
      </top>
      <bottom/>
      <diagonal/>
    </border>
    <border>
      <left/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  <border>
      <left style="thin">
        <color indexed="10"/>
      </left>
      <right style="thin">
        <color indexed="14"/>
      </right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/>
      <top/>
      <bottom/>
      <diagonal/>
    </border>
    <border>
      <left style="thin">
        <color indexed="14"/>
      </left>
      <right/>
      <top/>
      <bottom style="thin">
        <color indexed="14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 style="thin">
        <color indexed="8"/>
      </right>
      <top style="medium">
        <color indexed="9"/>
      </top>
      <bottom style="medium">
        <color indexed="9"/>
      </bottom>
      <diagonal/>
    </border>
    <border>
      <left style="thin">
        <color indexed="8"/>
      </left>
      <right/>
      <top/>
      <bottom/>
      <diagonal/>
    </border>
    <border>
      <left style="medium">
        <color indexed="9"/>
      </left>
      <right style="thin">
        <color indexed="8"/>
      </right>
      <top style="medium">
        <color indexed="9"/>
      </top>
      <bottom style="medium">
        <color indexed="9"/>
      </bottom>
      <diagonal/>
    </border>
    <border>
      <left style="thin">
        <color indexed="14"/>
      </left>
      <right/>
      <top/>
      <bottom style="dashed">
        <color indexed="14"/>
      </bottom>
      <diagonal/>
    </border>
    <border>
      <left/>
      <right/>
      <top/>
      <bottom style="dashed">
        <color indexed="14"/>
      </bottom>
      <diagonal/>
    </border>
    <border>
      <left/>
      <right style="thin">
        <color indexed="14"/>
      </right>
      <top/>
      <bottom style="dashed">
        <color indexed="14"/>
      </bottom>
      <diagonal/>
    </border>
    <border>
      <left style="thin">
        <color indexed="14"/>
      </left>
      <right/>
      <top style="dashed">
        <color indexed="14"/>
      </top>
      <bottom/>
      <diagonal/>
    </border>
    <border>
      <left/>
      <right/>
      <top style="dashed">
        <color indexed="14"/>
      </top>
      <bottom/>
      <diagonal/>
    </border>
    <border>
      <left/>
      <right style="thin">
        <color indexed="14"/>
      </right>
      <top style="dashed">
        <color indexed="14"/>
      </top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10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/>
      <top/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hair">
        <color indexed="29"/>
      </bottom>
      <diagonal/>
    </border>
    <border>
      <left/>
      <right/>
      <top style="hair">
        <color indexed="29"/>
      </top>
      <bottom/>
      <diagonal/>
    </border>
    <border>
      <left/>
      <right/>
      <top style="hair">
        <color indexed="29"/>
      </top>
      <bottom style="hair">
        <color indexed="29"/>
      </bottom>
      <diagonal/>
    </border>
    <border>
      <left/>
      <right style="hair">
        <color indexed="29"/>
      </right>
      <top/>
      <bottom/>
      <diagonal/>
    </border>
    <border>
      <left style="hair">
        <color indexed="29"/>
      </left>
      <right/>
      <top style="hair">
        <color indexed="29"/>
      </top>
      <bottom style="hair">
        <color indexed="29"/>
      </bottom>
      <diagonal/>
    </border>
    <border>
      <left/>
      <right style="hair">
        <color indexed="29"/>
      </right>
      <top style="hair">
        <color indexed="29"/>
      </top>
      <bottom style="thin">
        <color indexed="31"/>
      </bottom>
      <diagonal/>
    </border>
    <border>
      <left style="hair">
        <color indexed="29"/>
      </left>
      <right/>
      <top/>
      <bottom/>
      <diagonal/>
    </border>
    <border>
      <left style="hair">
        <color indexed="29"/>
      </left>
      <right/>
      <top style="hair">
        <color indexed="29"/>
      </top>
      <bottom/>
      <diagonal/>
    </border>
    <border>
      <left/>
      <right style="thin">
        <color indexed="31"/>
      </right>
      <top style="hair">
        <color indexed="29"/>
      </top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/>
      <top/>
      <bottom/>
      <diagonal/>
    </border>
    <border>
      <left/>
      <right style="thin">
        <color indexed="31"/>
      </right>
      <top/>
      <bottom/>
      <diagonal/>
    </border>
    <border>
      <left style="hair">
        <color indexed="29"/>
      </left>
      <right/>
      <top/>
      <bottom style="hair">
        <color indexed="29"/>
      </bottom>
      <diagonal/>
    </border>
    <border>
      <left/>
      <right style="thin">
        <color indexed="31"/>
      </right>
      <top/>
      <bottom style="hair">
        <color indexed="29"/>
      </bottom>
      <diagonal/>
    </border>
    <border>
      <left/>
      <right/>
      <top style="thin">
        <color indexed="31"/>
      </top>
      <bottom/>
      <diagonal/>
    </border>
    <border>
      <left/>
      <right/>
      <top style="thin">
        <color indexed="31"/>
      </top>
      <bottom style="hair">
        <color indexed="29"/>
      </bottom>
      <diagonal/>
    </border>
    <border>
      <left/>
      <right style="hair">
        <color indexed="29"/>
      </right>
      <top style="hair">
        <color indexed="29"/>
      </top>
      <bottom style="hair">
        <color indexed="29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/>
    </xf>
  </cellStyleXfs>
  <cellXfs count="681">
    <xf numFmtId="0" fontId="0" applyNumberFormat="0" applyFont="1" applyFill="0" applyBorder="0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top"/>
    </xf>
    <xf numFmtId="0" fontId="3" fillId="2" borderId="7" applyNumberFormat="0" applyFont="1" applyFill="1" applyBorder="1" applyAlignment="1" applyProtection="0">
      <alignment vertical="bottom"/>
    </xf>
    <xf numFmtId="0" fontId="3" fillId="2" borderId="8" applyNumberFormat="0" applyFont="1" applyFill="1" applyBorder="1" applyAlignment="1" applyProtection="0">
      <alignment vertical="bottom"/>
    </xf>
    <xf numFmtId="0" fontId="4" fillId="2" borderId="9" applyNumberFormat="0" applyFont="1" applyFill="1" applyBorder="1" applyAlignment="1" applyProtection="0">
      <alignment horizontal="right" vertical="bottom"/>
    </xf>
    <xf numFmtId="0" fontId="3" fillId="2" borderId="10" applyNumberFormat="0" applyFont="1" applyFill="1" applyBorder="1" applyAlignment="1" applyProtection="0">
      <alignment vertical="bottom"/>
    </xf>
    <xf numFmtId="0" fontId="3" fillId="2" borderId="11" applyNumberFormat="0" applyFont="1" applyFill="1" applyBorder="1" applyAlignment="1" applyProtection="0">
      <alignment vertical="bottom"/>
    </xf>
    <xf numFmtId="0" fontId="4" fillId="2" borderId="12" applyNumberFormat="0" applyFont="1" applyFill="1" applyBorder="1" applyAlignment="1" applyProtection="0">
      <alignment horizontal="right"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49" fontId="5" fillId="2" borderId="15" applyNumberFormat="1" applyFont="1" applyFill="1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top"/>
    </xf>
    <xf numFmtId="0" fontId="0" fillId="2" borderId="1" applyNumberFormat="0" applyFont="1" applyFill="1" applyBorder="1" applyAlignment="1" applyProtection="0">
      <alignment vertical="top"/>
    </xf>
    <xf numFmtId="49" fontId="6" fillId="2" borderId="2" applyNumberFormat="1" applyFont="1" applyFill="1" applyBorder="1" applyAlignment="1" applyProtection="0">
      <alignment horizontal="left" vertical="top"/>
    </xf>
    <xf numFmtId="0" fontId="0" fillId="2" borderId="2" applyNumberFormat="0" applyFont="1" applyFill="1" applyBorder="1" applyAlignment="1" applyProtection="0">
      <alignment vertical="top"/>
    </xf>
    <xf numFmtId="0" fontId="0" fillId="2" borderId="3" applyNumberFormat="0" applyFont="1" applyFill="1" applyBorder="1" applyAlignment="1" applyProtection="0">
      <alignment vertical="top"/>
    </xf>
    <xf numFmtId="0" fontId="0" fillId="2" borderId="4" applyNumberFormat="0" applyFont="1" applyFill="1" applyBorder="1" applyAlignment="1" applyProtection="0">
      <alignment vertical="top"/>
    </xf>
    <xf numFmtId="49" fontId="7" fillId="2" borderId="5" applyNumberFormat="1" applyFont="1" applyFill="1" applyBorder="1" applyAlignment="1" applyProtection="0">
      <alignment horizontal="left" vertical="top"/>
    </xf>
    <xf numFmtId="0" fontId="0" fillId="2" borderId="6" applyNumberFormat="0" applyFont="1" applyFill="1" applyBorder="1" applyAlignment="1" applyProtection="0">
      <alignment vertical="top"/>
    </xf>
    <xf numFmtId="0" fontId="6" fillId="2" borderId="5" applyNumberFormat="0" applyFont="1" applyFill="1" applyBorder="1" applyAlignment="1" applyProtection="0">
      <alignment horizontal="left" vertical="top"/>
    </xf>
    <xf numFmtId="49" fontId="8" fillId="3" borderId="5" applyNumberFormat="1" applyFont="1" applyFill="1" applyBorder="1" applyAlignment="1" applyProtection="0">
      <alignment horizontal="left" vertical="bottom"/>
    </xf>
    <xf numFmtId="0" fontId="8" fillId="3" borderId="5" applyNumberFormat="0" applyFont="1" applyFill="1" applyBorder="1" applyAlignment="1" applyProtection="0">
      <alignment horizontal="center" vertical="bottom"/>
    </xf>
    <xf numFmtId="0" fontId="8" fillId="2" borderId="6" applyNumberFormat="0" applyFont="1" applyFill="1" applyBorder="1" applyAlignment="1" applyProtection="0">
      <alignment horizontal="center" vertical="bottom"/>
    </xf>
    <xf numFmtId="49" fontId="6" fillId="4" borderId="5" applyNumberFormat="1" applyFont="1" applyFill="1" applyBorder="1" applyAlignment="1" applyProtection="0">
      <alignment vertical="top"/>
    </xf>
    <xf numFmtId="0" fontId="0" fillId="4" borderId="5" applyNumberFormat="0" applyFont="1" applyFill="1" applyBorder="1" applyAlignment="1" applyProtection="0">
      <alignment vertical="top"/>
    </xf>
    <xf numFmtId="0" fontId="0" fillId="4" borderId="16" applyNumberFormat="0" applyFont="1" applyFill="1" applyBorder="1" applyAlignment="1" applyProtection="0">
      <alignment vertical="top"/>
    </xf>
    <xf numFmtId="59" fontId="9" fillId="4" borderId="16" applyNumberFormat="1" applyFont="1" applyFill="1" applyBorder="1" applyAlignment="1" applyProtection="0">
      <alignment vertical="top"/>
    </xf>
    <xf numFmtId="59" fontId="9" fillId="4" borderId="5" applyNumberFormat="1" applyFont="1" applyFill="1" applyBorder="1" applyAlignment="1" applyProtection="0">
      <alignment vertical="top"/>
    </xf>
    <xf numFmtId="60" fontId="9" fillId="4" borderId="5" applyNumberFormat="1" applyFont="1" applyFill="1" applyBorder="1" applyAlignment="1" applyProtection="0">
      <alignment horizontal="center" vertical="top"/>
    </xf>
    <xf numFmtId="60" fontId="9" fillId="4" borderId="17" applyNumberFormat="1" applyFont="1" applyFill="1" applyBorder="1" applyAlignment="1" applyProtection="0">
      <alignment horizontal="center" vertical="top"/>
    </xf>
    <xf numFmtId="60" fontId="9" fillId="2" borderId="18" applyNumberFormat="1" applyFont="1" applyFill="1" applyBorder="1" applyAlignment="1" applyProtection="0">
      <alignment horizontal="center" vertical="top"/>
    </xf>
    <xf numFmtId="0" fontId="10" fillId="4" borderId="5" applyNumberFormat="0" applyFont="1" applyFill="1" applyBorder="1" applyAlignment="1" applyProtection="0">
      <alignment horizontal="left" vertical="top"/>
    </xf>
    <xf numFmtId="0" fontId="10" fillId="4" borderId="19" applyNumberFormat="0" applyFont="1" applyFill="1" applyBorder="1" applyAlignment="1" applyProtection="0">
      <alignment horizontal="left" vertical="top"/>
    </xf>
    <xf numFmtId="0" fontId="11" fillId="5" borderId="20" applyNumberFormat="1" applyFont="1" applyFill="1" applyBorder="1" applyAlignment="1" applyProtection="0">
      <alignment horizontal="center" vertical="bottom"/>
    </xf>
    <xf numFmtId="59" fontId="9" fillId="4" borderId="21" applyNumberFormat="1" applyFont="1" applyFill="1" applyBorder="1" applyAlignment="1" applyProtection="0">
      <alignment vertical="top"/>
    </xf>
    <xf numFmtId="0" fontId="0" fillId="2" borderId="18" applyNumberFormat="0" applyFont="1" applyFill="1" applyBorder="1" applyAlignment="1" applyProtection="0">
      <alignment vertical="top"/>
    </xf>
    <xf numFmtId="49" fontId="10" fillId="4" borderId="5" applyNumberFormat="1" applyFont="1" applyFill="1" applyBorder="1" applyAlignment="1" applyProtection="0">
      <alignment horizontal="left" vertical="top"/>
    </xf>
    <xf numFmtId="59" fontId="9" fillId="4" borderId="22" applyNumberFormat="1" applyFont="1" applyFill="1" applyBorder="1" applyAlignment="1" applyProtection="0">
      <alignment vertical="top"/>
    </xf>
    <xf numFmtId="59" fontId="0" fillId="4" borderId="22" applyNumberFormat="1" applyFont="1" applyFill="1" applyBorder="1" applyAlignment="1" applyProtection="0">
      <alignment vertical="top"/>
    </xf>
    <xf numFmtId="60" fontId="9" fillId="4" borderId="5" applyNumberFormat="1" applyFont="1" applyFill="1" applyBorder="1" applyAlignment="1" applyProtection="0">
      <alignment vertical="top"/>
    </xf>
    <xf numFmtId="9" fontId="9" fillId="4" borderId="5" applyNumberFormat="1" applyFont="1" applyFill="1" applyBorder="1" applyAlignment="1" applyProtection="0">
      <alignment vertical="top"/>
    </xf>
    <xf numFmtId="59" fontId="9" fillId="4" borderId="23" applyNumberFormat="1" applyFont="1" applyFill="1" applyBorder="1" applyAlignment="1" applyProtection="0">
      <alignment vertical="top"/>
    </xf>
    <xf numFmtId="49" fontId="11" fillId="5" borderId="24" applyNumberFormat="1" applyFont="1" applyFill="1" applyBorder="1" applyAlignment="1" applyProtection="0">
      <alignment horizontal="center" vertical="bottom"/>
    </xf>
    <xf numFmtId="0" fontId="0" fillId="4" borderId="19" applyNumberFormat="0" applyFont="1" applyFill="1" applyBorder="1" applyAlignment="1" applyProtection="0">
      <alignment vertical="top"/>
    </xf>
    <xf numFmtId="49" fontId="11" fillId="5" borderId="20" applyNumberFormat="1" applyFont="1" applyFill="1" applyBorder="1" applyAlignment="1" applyProtection="0">
      <alignment horizontal="center" vertical="bottom"/>
    </xf>
    <xf numFmtId="49" fontId="11" fillId="5" borderId="25" applyNumberFormat="1" applyFont="1" applyFill="1" applyBorder="1" applyAlignment="1" applyProtection="0">
      <alignment horizontal="center" vertical="bottom"/>
    </xf>
    <xf numFmtId="61" fontId="9" fillId="4" borderId="22" applyNumberFormat="1" applyFont="1" applyFill="1" applyBorder="1" applyAlignment="1" applyProtection="0">
      <alignment vertical="top"/>
    </xf>
    <xf numFmtId="62" fontId="9" fillId="4" borderId="22" applyNumberFormat="1" applyFont="1" applyFill="1" applyBorder="1" applyAlignment="1" applyProtection="0">
      <alignment vertical="top"/>
    </xf>
    <xf numFmtId="9" fontId="9" fillId="4" borderId="22" applyNumberFormat="1" applyFont="1" applyFill="1" applyBorder="1" applyAlignment="1" applyProtection="0">
      <alignment horizontal="center" vertical="top"/>
    </xf>
    <xf numFmtId="63" fontId="9" fillId="4" borderId="5" applyNumberFormat="1" applyFont="1" applyFill="1" applyBorder="1" applyAlignment="1" applyProtection="0">
      <alignment vertical="top"/>
    </xf>
    <xf numFmtId="64" fontId="9" fillId="4" borderId="5" applyNumberFormat="1" applyFont="1" applyFill="1" applyBorder="1" applyAlignment="1" applyProtection="0">
      <alignment vertical="top"/>
    </xf>
    <xf numFmtId="9" fontId="9" fillId="4" borderId="5" applyNumberFormat="1" applyFont="1" applyFill="1" applyBorder="1" applyAlignment="1" applyProtection="0">
      <alignment horizontal="center" vertical="top"/>
    </xf>
    <xf numFmtId="49" fontId="10" fillId="4" borderId="26" applyNumberFormat="1" applyFont="1" applyFill="1" applyBorder="1" applyAlignment="1" applyProtection="0">
      <alignment horizontal="left" vertical="top"/>
    </xf>
    <xf numFmtId="0" fontId="0" fillId="4" borderId="26" applyNumberFormat="0" applyFont="1" applyFill="1" applyBorder="1" applyAlignment="1" applyProtection="0">
      <alignment vertical="top"/>
    </xf>
    <xf numFmtId="63" fontId="9" fillId="4" borderId="26" applyNumberFormat="1" applyFont="1" applyFill="1" applyBorder="1" applyAlignment="1" applyProtection="0">
      <alignment vertical="top"/>
    </xf>
    <xf numFmtId="64" fontId="9" fillId="4" borderId="26" applyNumberFormat="1" applyFont="1" applyFill="1" applyBorder="1" applyAlignment="1" applyProtection="0">
      <alignment vertical="top"/>
    </xf>
    <xf numFmtId="9" fontId="9" fillId="4" borderId="26" applyNumberFormat="1" applyFont="1" applyFill="1" applyBorder="1" applyAlignment="1" applyProtection="0">
      <alignment horizontal="center" vertical="top"/>
    </xf>
    <xf numFmtId="49" fontId="12" fillId="4" borderId="27" applyNumberFormat="1" applyFont="1" applyFill="1" applyBorder="1" applyAlignment="1" applyProtection="0">
      <alignment vertical="top"/>
    </xf>
    <xf numFmtId="0" fontId="12" fillId="4" borderId="27" applyNumberFormat="0" applyFont="1" applyFill="1" applyBorder="1" applyAlignment="1" applyProtection="0">
      <alignment vertical="top"/>
    </xf>
    <xf numFmtId="62" fontId="12" fillId="4" borderId="27" applyNumberFormat="1" applyFont="1" applyFill="1" applyBorder="1" applyAlignment="1" applyProtection="0">
      <alignment vertical="top"/>
    </xf>
    <xf numFmtId="9" fontId="12" fillId="4" borderId="27" applyNumberFormat="1" applyFont="1" applyFill="1" applyBorder="1" applyAlignment="1" applyProtection="0">
      <alignment horizontal="center" vertical="top"/>
    </xf>
    <xf numFmtId="64" fontId="0" fillId="4" borderId="5" applyNumberFormat="1" applyFont="1" applyFill="1" applyBorder="1" applyAlignment="1" applyProtection="0">
      <alignment vertical="top"/>
    </xf>
    <xf numFmtId="64" fontId="0" fillId="4" borderId="26" applyNumberFormat="1" applyFont="1" applyFill="1" applyBorder="1" applyAlignment="1" applyProtection="0">
      <alignment vertical="top"/>
    </xf>
    <xf numFmtId="9" fontId="10" fillId="4" borderId="26" applyNumberFormat="1" applyFont="1" applyFill="1" applyBorder="1" applyAlignment="1" applyProtection="0">
      <alignment horizontal="center" vertical="top"/>
    </xf>
    <xf numFmtId="49" fontId="0" fillId="4" borderId="5" applyNumberFormat="1" applyFont="1" applyFill="1" applyBorder="1" applyAlignment="1" applyProtection="0">
      <alignment vertical="top"/>
    </xf>
    <xf numFmtId="65" fontId="9" fillId="4" borderId="5" applyNumberFormat="1" applyFont="1" applyFill="1" applyBorder="1" applyAlignment="1" applyProtection="0">
      <alignment horizontal="center" vertical="top"/>
    </xf>
    <xf numFmtId="9" fontId="10" fillId="4" borderId="5" applyNumberFormat="1" applyFont="1" applyFill="1" applyBorder="1" applyAlignment="1" applyProtection="0">
      <alignment horizontal="center" vertical="top"/>
    </xf>
    <xf numFmtId="66" fontId="9" fillId="4" borderId="5" applyNumberFormat="1" applyFont="1" applyFill="1" applyBorder="1" applyAlignment="1" applyProtection="0">
      <alignment horizontal="center" vertical="top"/>
    </xf>
    <xf numFmtId="9" fontId="10" fillId="4" borderId="16" applyNumberFormat="1" applyFont="1" applyFill="1" applyBorder="1" applyAlignment="1" applyProtection="0">
      <alignment horizontal="center" vertical="top"/>
    </xf>
    <xf numFmtId="60" fontId="9" fillId="4" borderId="16" applyNumberFormat="1" applyFont="1" applyFill="1" applyBorder="1" applyAlignment="1" applyProtection="0">
      <alignment horizontal="center" vertical="top"/>
    </xf>
    <xf numFmtId="60" fontId="9" fillId="4" borderId="19" applyNumberFormat="1" applyFont="1" applyFill="1" applyBorder="1" applyAlignment="1" applyProtection="0">
      <alignment vertical="top"/>
    </xf>
    <xf numFmtId="17" fontId="11" fillId="5" borderId="20" applyNumberFormat="1" applyFont="1" applyFill="1" applyBorder="1" applyAlignment="1" applyProtection="0">
      <alignment horizontal="center" vertical="bottom"/>
    </xf>
    <xf numFmtId="17" fontId="11" fillId="6" borderId="20" applyNumberFormat="1" applyFont="1" applyFill="1" applyBorder="1" applyAlignment="1" applyProtection="0">
      <alignment horizontal="center" vertical="bottom"/>
    </xf>
    <xf numFmtId="17" fontId="11" fillId="6" borderId="28" applyNumberFormat="1" applyFont="1" applyFill="1" applyBorder="1" applyAlignment="1" applyProtection="0">
      <alignment horizontal="center" vertical="bottom"/>
    </xf>
    <xf numFmtId="17" fontId="11" fillId="6" borderId="21" applyNumberFormat="1" applyFont="1" applyFill="1" applyBorder="1" applyAlignment="1" applyProtection="0">
      <alignment horizontal="center" vertical="bottom"/>
    </xf>
    <xf numFmtId="17" fontId="11" fillId="6" borderId="17" applyNumberFormat="1" applyFont="1" applyFill="1" applyBorder="1" applyAlignment="1" applyProtection="0">
      <alignment horizontal="center" vertical="bottom"/>
    </xf>
    <xf numFmtId="49" fontId="12" fillId="4" borderId="5" applyNumberFormat="1" applyFont="1" applyFill="1" applyBorder="1" applyAlignment="1" applyProtection="0">
      <alignment horizontal="left" vertical="top"/>
    </xf>
    <xf numFmtId="49" fontId="9" fillId="4" borderId="5" applyNumberFormat="1" applyFont="1" applyFill="1" applyBorder="1" applyAlignment="1" applyProtection="0">
      <alignment vertical="top"/>
    </xf>
    <xf numFmtId="59" fontId="9" fillId="4" borderId="11" applyNumberFormat="1" applyFont="1" applyFill="1" applyBorder="1" applyAlignment="1" applyProtection="0">
      <alignment vertical="top"/>
    </xf>
    <xf numFmtId="59" fontId="9" fillId="4" borderId="17" applyNumberFormat="1" applyFont="1" applyFill="1" applyBorder="1" applyAlignment="1" applyProtection="0">
      <alignment vertical="top"/>
    </xf>
    <xf numFmtId="49" fontId="12" fillId="4" borderId="8" applyNumberFormat="1" applyFont="1" applyFill="1" applyBorder="1" applyAlignment="1" applyProtection="0">
      <alignment horizontal="left" vertical="top"/>
    </xf>
    <xf numFmtId="0" fontId="0" fillId="4" borderId="8" applyNumberFormat="0" applyFont="1" applyFill="1" applyBorder="1" applyAlignment="1" applyProtection="0">
      <alignment vertical="top"/>
    </xf>
    <xf numFmtId="60" fontId="9" fillId="4" borderId="8" applyNumberFormat="1" applyFont="1" applyFill="1" applyBorder="1" applyAlignment="1" applyProtection="0">
      <alignment vertical="top"/>
    </xf>
    <xf numFmtId="59" fontId="0" fillId="4" borderId="8" applyNumberFormat="1" applyFont="1" applyFill="1" applyBorder="1" applyAlignment="1" applyProtection="0">
      <alignment vertical="top"/>
    </xf>
    <xf numFmtId="59" fontId="0" fillId="4" borderId="29" applyNumberFormat="1" applyFont="1" applyFill="1" applyBorder="1" applyAlignment="1" applyProtection="0">
      <alignment vertical="top"/>
    </xf>
    <xf numFmtId="0" fontId="0" fillId="2" borderId="30" applyNumberFormat="0" applyFont="1" applyFill="1" applyBorder="1" applyAlignment="1" applyProtection="0">
      <alignment vertical="top"/>
    </xf>
    <xf numFmtId="49" fontId="10" fillId="4" borderId="31" applyNumberFormat="1" applyFont="1" applyFill="1" applyBorder="1" applyAlignment="1" applyProtection="0">
      <alignment horizontal="left" vertical="top"/>
    </xf>
    <xf numFmtId="0" fontId="0" fillId="4" borderId="32" applyNumberFormat="0" applyFont="1" applyFill="1" applyBorder="1" applyAlignment="1" applyProtection="0">
      <alignment vertical="top"/>
    </xf>
    <xf numFmtId="60" fontId="9" fillId="4" borderId="33" applyNumberFormat="1" applyFont="1" applyFill="1" applyBorder="1" applyAlignment="1" applyProtection="0">
      <alignment vertical="top"/>
    </xf>
    <xf numFmtId="63" fontId="9" fillId="4" borderId="34" applyNumberFormat="1" applyFont="1" applyFill="1" applyBorder="1" applyAlignment="1" applyProtection="0">
      <alignment vertical="top"/>
    </xf>
    <xf numFmtId="63" fontId="9" fillId="4" borderId="11" applyNumberFormat="1" applyFont="1" applyFill="1" applyBorder="1" applyAlignment="1" applyProtection="0">
      <alignment vertical="top"/>
    </xf>
    <xf numFmtId="67" fontId="10" fillId="4" borderId="11" applyNumberFormat="1" applyFont="1" applyFill="1" applyBorder="1" applyAlignment="1" applyProtection="0">
      <alignment horizontal="center" vertical="top"/>
    </xf>
    <xf numFmtId="60" fontId="9" fillId="4" borderId="11" applyNumberFormat="1" applyFont="1" applyFill="1" applyBorder="1" applyAlignment="1" applyProtection="0">
      <alignment horizontal="center" vertical="top"/>
    </xf>
    <xf numFmtId="60" fontId="9" fillId="4" borderId="35" applyNumberFormat="1" applyFont="1" applyFill="1" applyBorder="1" applyAlignment="1" applyProtection="0">
      <alignment horizontal="center" vertical="top"/>
    </xf>
    <xf numFmtId="0" fontId="10" fillId="4" borderId="11" applyNumberFormat="0" applyFont="1" applyFill="1" applyBorder="1" applyAlignment="1" applyProtection="0">
      <alignment horizontal="left" vertical="top"/>
    </xf>
    <xf numFmtId="0" fontId="0" fillId="4" borderId="11" applyNumberFormat="0" applyFont="1" applyFill="1" applyBorder="1" applyAlignment="1" applyProtection="0">
      <alignment vertical="top"/>
    </xf>
    <xf numFmtId="60" fontId="9" fillId="4" borderId="11" applyNumberFormat="1" applyFont="1" applyFill="1" applyBorder="1" applyAlignment="1" applyProtection="0">
      <alignment vertical="top"/>
    </xf>
    <xf numFmtId="60" fontId="9" fillId="4" borderId="16" applyNumberFormat="1" applyFont="1" applyFill="1" applyBorder="1" applyAlignment="1" applyProtection="0">
      <alignment vertical="top"/>
    </xf>
    <xf numFmtId="59" fontId="9" fillId="4" borderId="36" applyNumberFormat="1" applyFont="1" applyFill="1" applyBorder="1" applyAlignment="1" applyProtection="0">
      <alignment vertical="top"/>
    </xf>
    <xf numFmtId="60" fontId="9" fillId="4" borderId="37" applyNumberFormat="1" applyFont="1" applyFill="1" applyBorder="1" applyAlignment="1" applyProtection="0">
      <alignment horizontal="center" vertical="top"/>
    </xf>
    <xf numFmtId="17" fontId="11" fillId="6" borderId="38" applyNumberFormat="1" applyFont="1" applyFill="1" applyBorder="1" applyAlignment="1" applyProtection="0">
      <alignment horizontal="center" vertical="bottom"/>
    </xf>
    <xf numFmtId="10" fontId="9" fillId="4" borderId="22" applyNumberFormat="1" applyFont="1" applyFill="1" applyBorder="1" applyAlignment="1" applyProtection="0">
      <alignment vertical="top"/>
    </xf>
    <xf numFmtId="10" fontId="9" fillId="4" borderId="5" applyNumberFormat="1" applyFont="1" applyFill="1" applyBorder="1" applyAlignment="1" applyProtection="0">
      <alignment vertical="top"/>
    </xf>
    <xf numFmtId="60" fontId="9" fillId="2" borderId="6" applyNumberFormat="1" applyFont="1" applyFill="1" applyBorder="1" applyAlignment="1" applyProtection="0">
      <alignment horizontal="center" vertical="top"/>
    </xf>
    <xf numFmtId="49" fontId="10" fillId="4" borderId="8" applyNumberFormat="1" applyFont="1" applyFill="1" applyBorder="1" applyAlignment="1" applyProtection="0">
      <alignment horizontal="left" vertical="top"/>
    </xf>
    <xf numFmtId="49" fontId="10" fillId="4" borderId="11" applyNumberFormat="1" applyFont="1" applyFill="1" applyBorder="1" applyAlignment="1" applyProtection="0">
      <alignment horizontal="left" vertical="top"/>
    </xf>
    <xf numFmtId="59" fontId="0" fillId="4" borderId="11" applyNumberFormat="1" applyFont="1" applyFill="1" applyBorder="1" applyAlignment="1" applyProtection="0">
      <alignment vertical="top"/>
    </xf>
    <xf numFmtId="59" fontId="0" fillId="4" borderId="35" applyNumberFormat="1" applyFont="1" applyFill="1" applyBorder="1" applyAlignment="1" applyProtection="0">
      <alignment vertical="top"/>
    </xf>
    <xf numFmtId="49" fontId="13" fillId="4" borderId="5" applyNumberFormat="1" applyFont="1" applyFill="1" applyBorder="1" applyAlignment="1" applyProtection="0">
      <alignment horizontal="left" vertical="top"/>
    </xf>
    <xf numFmtId="0" fontId="13" fillId="4" borderId="5" applyNumberFormat="0" applyFont="1" applyFill="1" applyBorder="1" applyAlignment="1" applyProtection="0">
      <alignment vertical="top"/>
    </xf>
    <xf numFmtId="59" fontId="13" fillId="4" borderId="5" applyNumberFormat="1" applyFont="1" applyFill="1" applyBorder="1" applyAlignment="1" applyProtection="0">
      <alignment vertical="top"/>
    </xf>
    <xf numFmtId="10" fontId="13" fillId="4" borderId="5" applyNumberFormat="1" applyFont="1" applyFill="1" applyBorder="1" applyAlignment="1" applyProtection="0">
      <alignment vertical="top"/>
    </xf>
    <xf numFmtId="10" fontId="13" fillId="4" borderId="17" applyNumberFormat="1" applyFont="1" applyFill="1" applyBorder="1" applyAlignment="1" applyProtection="0">
      <alignment vertical="top"/>
    </xf>
    <xf numFmtId="0" fontId="13" fillId="4" borderId="39" applyNumberFormat="0" applyFont="1" applyFill="1" applyBorder="1" applyAlignment="1" applyProtection="0">
      <alignment horizontal="left" vertical="top"/>
    </xf>
    <xf numFmtId="0" fontId="13" fillId="4" borderId="39" applyNumberFormat="0" applyFont="1" applyFill="1" applyBorder="1" applyAlignment="1" applyProtection="0">
      <alignment vertical="top"/>
    </xf>
    <xf numFmtId="59" fontId="13" fillId="4" borderId="39" applyNumberFormat="1" applyFont="1" applyFill="1" applyBorder="1" applyAlignment="1" applyProtection="0">
      <alignment vertical="top"/>
    </xf>
    <xf numFmtId="10" fontId="13" fillId="4" borderId="39" applyNumberFormat="1" applyFont="1" applyFill="1" applyBorder="1" applyAlignment="1" applyProtection="0">
      <alignment vertical="top"/>
    </xf>
    <xf numFmtId="2" fontId="13" fillId="4" borderId="39" applyNumberFormat="1" applyFont="1" applyFill="1" applyBorder="1" applyAlignment="1" applyProtection="0">
      <alignment vertical="top"/>
    </xf>
    <xf numFmtId="10" fontId="13" fillId="4" borderId="40" applyNumberFormat="1" applyFont="1" applyFill="1" applyBorder="1" applyAlignment="1" applyProtection="0">
      <alignment vertical="top"/>
    </xf>
    <xf numFmtId="0" fontId="0" fillId="2" borderId="41" applyNumberFormat="0" applyFont="1" applyFill="1" applyBorder="1" applyAlignment="1" applyProtection="0">
      <alignment vertical="top"/>
    </xf>
    <xf numFmtId="49" fontId="14" fillId="2" borderId="42" applyNumberFormat="1" applyFont="1" applyFill="1" applyBorder="1" applyAlignment="1" applyProtection="0">
      <alignment vertical="top"/>
    </xf>
    <xf numFmtId="0" fontId="13" fillId="2" borderId="43" applyNumberFormat="0" applyFont="1" applyFill="1" applyBorder="1" applyAlignment="1" applyProtection="0">
      <alignment vertical="top"/>
    </xf>
    <xf numFmtId="59" fontId="13" fillId="2" borderId="43" applyNumberFormat="1" applyFont="1" applyFill="1" applyBorder="1" applyAlignment="1" applyProtection="0">
      <alignment vertical="top"/>
    </xf>
    <xf numFmtId="10" fontId="13" fillId="2" borderId="43" applyNumberFormat="1" applyFont="1" applyFill="1" applyBorder="1" applyAlignment="1" applyProtection="0">
      <alignment vertical="top"/>
    </xf>
    <xf numFmtId="10" fontId="13" fillId="2" borderId="44" applyNumberFormat="1" applyFont="1" applyFill="1" applyBorder="1" applyAlignment="1" applyProtection="0">
      <alignment vertical="top"/>
    </xf>
    <xf numFmtId="49" fontId="14" fillId="2" borderId="45" applyNumberFormat="1" applyFont="1" applyFill="1" applyBorder="1" applyAlignment="1" applyProtection="0">
      <alignment horizontal="left" vertical="top"/>
    </xf>
    <xf numFmtId="0" fontId="14" fillId="2" borderId="5" applyNumberFormat="0" applyFont="1" applyFill="1" applyBorder="1" applyAlignment="1" applyProtection="0">
      <alignment vertical="top"/>
    </xf>
    <xf numFmtId="59" fontId="14" fillId="2" borderId="5" applyNumberFormat="1" applyFont="1" applyFill="1" applyBorder="1" applyAlignment="1" applyProtection="0">
      <alignment vertical="top"/>
    </xf>
    <xf numFmtId="9" fontId="14" fillId="2" borderId="5" applyNumberFormat="1" applyFont="1" applyFill="1" applyBorder="1" applyAlignment="1" applyProtection="0">
      <alignment vertical="top"/>
    </xf>
    <xf numFmtId="9" fontId="14" fillId="2" borderId="17" applyNumberFormat="1" applyFont="1" applyFill="1" applyBorder="1" applyAlignment="1" applyProtection="0">
      <alignment vertical="top"/>
    </xf>
    <xf numFmtId="62" fontId="14" fillId="2" borderId="5" applyNumberFormat="1" applyFont="1" applyFill="1" applyBorder="1" applyAlignment="1" applyProtection="0">
      <alignment vertical="top"/>
    </xf>
    <xf numFmtId="62" fontId="14" fillId="2" borderId="17" applyNumberFormat="1" applyFont="1" applyFill="1" applyBorder="1" applyAlignment="1" applyProtection="0">
      <alignment vertical="top"/>
    </xf>
    <xf numFmtId="0" fontId="10" fillId="2" borderId="5" applyNumberFormat="0" applyFont="1" applyFill="1" applyBorder="1" applyAlignment="1" applyProtection="0">
      <alignment horizontal="left" vertical="top"/>
    </xf>
    <xf numFmtId="59" fontId="9" fillId="2" borderId="5" applyNumberFormat="1" applyFont="1" applyFill="1" applyBorder="1" applyAlignment="1" applyProtection="0">
      <alignment vertical="top"/>
    </xf>
    <xf numFmtId="60" fontId="9" fillId="2" borderId="5" applyNumberFormat="1" applyFont="1" applyFill="1" applyBorder="1" applyAlignment="1" applyProtection="0">
      <alignment horizontal="center" vertical="top"/>
    </xf>
    <xf numFmtId="49" fontId="0" fillId="4" borderId="45" applyNumberFormat="1" applyFont="1" applyFill="1" applyBorder="1" applyAlignment="1" applyProtection="0">
      <alignment vertical="top"/>
    </xf>
    <xf numFmtId="62" fontId="0" fillId="2" borderId="17" applyNumberFormat="1" applyFont="1" applyFill="1" applyBorder="1" applyAlignment="1" applyProtection="0">
      <alignment vertical="top"/>
    </xf>
    <xf numFmtId="0" fontId="0" fillId="2" borderId="45" applyNumberFormat="0" applyFont="1" applyFill="1" applyBorder="1" applyAlignment="1" applyProtection="0">
      <alignment vertical="top"/>
    </xf>
    <xf numFmtId="49" fontId="10" fillId="4" borderId="45" applyNumberFormat="1" applyFont="1" applyFill="1" applyBorder="1" applyAlignment="1" applyProtection="0">
      <alignment horizontal="left" vertical="top"/>
    </xf>
    <xf numFmtId="64" fontId="9" fillId="4" borderId="17" applyNumberFormat="1" applyFont="1" applyFill="1" applyBorder="1" applyAlignment="1" applyProtection="0">
      <alignment vertical="top"/>
    </xf>
    <xf numFmtId="64" fontId="12" fillId="4" borderId="17" applyNumberFormat="1" applyFont="1" applyFill="1" applyBorder="1" applyAlignment="1" applyProtection="0">
      <alignment horizontal="left" vertical="top"/>
    </xf>
    <xf numFmtId="9" fontId="9" fillId="4" borderId="17" applyNumberFormat="1" applyFont="1" applyFill="1" applyBorder="1" applyAlignment="1" applyProtection="0">
      <alignment vertical="top"/>
    </xf>
    <xf numFmtId="9" fontId="0" fillId="4" borderId="17" applyNumberFormat="1" applyFont="1" applyFill="1" applyBorder="1" applyAlignment="1" applyProtection="0">
      <alignment vertical="top"/>
    </xf>
    <xf numFmtId="60" fontId="9" fillId="4" borderId="17" applyNumberFormat="1" applyFont="1" applyFill="1" applyBorder="1" applyAlignment="1" applyProtection="0">
      <alignment vertical="top"/>
    </xf>
    <xf numFmtId="49" fontId="10" fillId="4" borderId="17" applyNumberFormat="1" applyFont="1" applyFill="1" applyBorder="1" applyAlignment="1" applyProtection="0">
      <alignment horizontal="right" vertical="top"/>
    </xf>
    <xf numFmtId="0" fontId="9" fillId="4" borderId="17" applyNumberFormat="1" applyFont="1" applyFill="1" applyBorder="1" applyAlignment="1" applyProtection="0">
      <alignment vertical="top"/>
    </xf>
    <xf numFmtId="49" fontId="10" fillId="4" borderId="46" applyNumberFormat="1" applyFont="1" applyFill="1" applyBorder="1" applyAlignment="1" applyProtection="0">
      <alignment horizontal="left" vertical="top"/>
    </xf>
    <xf numFmtId="0" fontId="0" fillId="4" borderId="39" applyNumberFormat="0" applyFont="1" applyFill="1" applyBorder="1" applyAlignment="1" applyProtection="0">
      <alignment vertical="top"/>
    </xf>
    <xf numFmtId="0" fontId="9" fillId="4" borderId="40" applyNumberFormat="1" applyFont="1" applyFill="1" applyBorder="1" applyAlignment="1" applyProtection="0">
      <alignment vertical="top"/>
    </xf>
    <xf numFmtId="0" fontId="10" fillId="2" borderId="43" applyNumberFormat="0" applyFont="1" applyFill="1" applyBorder="1" applyAlignment="1" applyProtection="0">
      <alignment horizontal="left" vertical="top"/>
    </xf>
    <xf numFmtId="0" fontId="0" fillId="2" borderId="43" applyNumberFormat="0" applyFont="1" applyFill="1" applyBorder="1" applyAlignment="1" applyProtection="0">
      <alignment vertical="top"/>
    </xf>
    <xf numFmtId="0" fontId="9" fillId="2" borderId="43" applyNumberFormat="0" applyFont="1" applyFill="1" applyBorder="1" applyAlignment="1" applyProtection="0">
      <alignment vertical="top"/>
    </xf>
    <xf numFmtId="49" fontId="10" fillId="4" borderId="45" applyNumberFormat="1" applyFont="1" applyFill="1" applyBorder="1" applyAlignment="1" applyProtection="0">
      <alignment horizontal="left" vertical="bottom"/>
    </xf>
    <xf numFmtId="66" fontId="9" fillId="4" borderId="5" applyNumberFormat="1" applyFont="1" applyFill="1" applyBorder="1" applyAlignment="1" applyProtection="0">
      <alignment vertical="top"/>
    </xf>
    <xf numFmtId="0" fontId="0" fillId="4" borderId="17" applyNumberFormat="0" applyFont="1" applyFill="1" applyBorder="1" applyAlignment="1" applyProtection="0">
      <alignment vertical="top"/>
    </xf>
    <xf numFmtId="0" fontId="10" fillId="4" borderId="45" applyNumberFormat="0" applyFont="1" applyFill="1" applyBorder="1" applyAlignment="1" applyProtection="0">
      <alignment horizontal="left" vertical="bottom"/>
    </xf>
    <xf numFmtId="0" fontId="0" fillId="4" borderId="37" applyNumberFormat="0" applyFont="1" applyFill="1" applyBorder="1" applyAlignment="1" applyProtection="0">
      <alignment vertical="top"/>
    </xf>
    <xf numFmtId="0" fontId="0" fillId="4" borderId="23" applyNumberFormat="0" applyFont="1" applyFill="1" applyBorder="1" applyAlignment="1" applyProtection="0">
      <alignment vertical="top"/>
    </xf>
    <xf numFmtId="49" fontId="11" fillId="7" borderId="47" applyNumberFormat="1" applyFont="1" applyFill="1" applyBorder="1" applyAlignment="1" applyProtection="0">
      <alignment horizontal="center" vertical="top"/>
    </xf>
    <xf numFmtId="0" fontId="11" fillId="7" borderId="48" applyNumberFormat="0" applyFont="1" applyFill="1" applyBorder="1" applyAlignment="1" applyProtection="0">
      <alignment horizontal="center" vertical="top"/>
    </xf>
    <xf numFmtId="0" fontId="11" fillId="7" borderId="49" applyNumberFormat="0" applyFont="1" applyFill="1" applyBorder="1" applyAlignment="1" applyProtection="0">
      <alignment horizontal="center" vertical="top"/>
    </xf>
    <xf numFmtId="0" fontId="0" fillId="2" borderId="50" applyNumberFormat="0" applyFont="1" applyFill="1" applyBorder="1" applyAlignment="1" applyProtection="0">
      <alignment vertical="top"/>
    </xf>
    <xf numFmtId="0" fontId="10" fillId="4" borderId="45" applyNumberFormat="0" applyFont="1" applyFill="1" applyBorder="1" applyAlignment="1" applyProtection="0">
      <alignment horizontal="left" vertical="top"/>
    </xf>
    <xf numFmtId="0" fontId="10" fillId="4" borderId="19" applyNumberFormat="0" applyFont="1" applyFill="1" applyBorder="1" applyAlignment="1" applyProtection="0">
      <alignment horizontal="center" vertical="bottom"/>
    </xf>
    <xf numFmtId="49" fontId="11" fillId="5" borderId="51" applyNumberFormat="1" applyFont="1" applyFill="1" applyBorder="1" applyAlignment="1" applyProtection="0">
      <alignment horizontal="center" vertical="bottom"/>
    </xf>
    <xf numFmtId="60" fontId="9" fillId="4" borderId="22" applyNumberFormat="1" applyFont="1" applyFill="1" applyBorder="1" applyAlignment="1" applyProtection="0">
      <alignment horizontal="center" vertical="top"/>
    </xf>
    <xf numFmtId="60" fontId="9" fillId="4" borderId="38" applyNumberFormat="1" applyFont="1" applyFill="1" applyBorder="1" applyAlignment="1" applyProtection="0">
      <alignment horizontal="center" vertical="top"/>
    </xf>
    <xf numFmtId="0" fontId="15" fillId="2" borderId="5" applyNumberFormat="0" applyFont="1" applyFill="1" applyBorder="1" applyAlignment="1" applyProtection="0">
      <alignment vertical="top" wrapText="1"/>
    </xf>
    <xf numFmtId="49" fontId="10" fillId="4" borderId="52" applyNumberFormat="1" applyFont="1" applyFill="1" applyBorder="1" applyAlignment="1" applyProtection="0">
      <alignment horizontal="left" vertical="top"/>
    </xf>
    <xf numFmtId="0" fontId="0" fillId="4" borderId="53" applyNumberFormat="0" applyFont="1" applyFill="1" applyBorder="1" applyAlignment="1" applyProtection="0">
      <alignment vertical="top"/>
    </xf>
    <xf numFmtId="9" fontId="9" fillId="4" borderId="53" applyNumberFormat="1" applyFont="1" applyFill="1" applyBorder="1" applyAlignment="1" applyProtection="0">
      <alignment horizontal="center" vertical="top"/>
    </xf>
    <xf numFmtId="64" fontId="9" fillId="4" borderId="53" applyNumberFormat="1" applyFont="1" applyFill="1" applyBorder="1" applyAlignment="1" applyProtection="0">
      <alignment vertical="top"/>
    </xf>
    <xf numFmtId="59" fontId="9" fillId="4" borderId="53" applyNumberFormat="1" applyFont="1" applyFill="1" applyBorder="1" applyAlignment="1" applyProtection="0">
      <alignment vertical="top"/>
    </xf>
    <xf numFmtId="60" fontId="9" fillId="4" borderId="53" applyNumberFormat="1" applyFont="1" applyFill="1" applyBorder="1" applyAlignment="1" applyProtection="0">
      <alignment horizontal="center" vertical="top"/>
    </xf>
    <xf numFmtId="60" fontId="9" fillId="4" borderId="54" applyNumberFormat="1" applyFont="1" applyFill="1" applyBorder="1" applyAlignment="1" applyProtection="0">
      <alignment horizontal="center" vertical="top"/>
    </xf>
    <xf numFmtId="49" fontId="10" fillId="4" borderId="55" applyNumberFormat="1" applyFont="1" applyFill="1" applyBorder="1" applyAlignment="1" applyProtection="0">
      <alignment horizontal="left" vertical="top"/>
    </xf>
    <xf numFmtId="0" fontId="0" fillId="4" borderId="56" applyNumberFormat="0" applyFont="1" applyFill="1" applyBorder="1" applyAlignment="1" applyProtection="0">
      <alignment vertical="top"/>
    </xf>
    <xf numFmtId="10" fontId="9" fillId="4" borderId="56" applyNumberFormat="1" applyFont="1" applyFill="1" applyBorder="1" applyAlignment="1" applyProtection="0">
      <alignment vertical="top"/>
    </xf>
    <xf numFmtId="0" fontId="0" fillId="4" borderId="57" applyNumberFormat="0" applyFont="1" applyFill="1" applyBorder="1" applyAlignment="1" applyProtection="0">
      <alignment vertical="top"/>
    </xf>
    <xf numFmtId="10" fontId="9" fillId="4" borderId="39" applyNumberFormat="1" applyFont="1" applyFill="1" applyBorder="1" applyAlignment="1" applyProtection="0">
      <alignment vertical="top"/>
    </xf>
    <xf numFmtId="0" fontId="0" fillId="4" borderId="40" applyNumberFormat="0" applyFont="1" applyFill="1" applyBorder="1" applyAlignment="1" applyProtection="0">
      <alignment vertical="top"/>
    </xf>
    <xf numFmtId="10" fontId="9" fillId="2" borderId="43" applyNumberFormat="1" applyFont="1" applyFill="1" applyBorder="1" applyAlignment="1" applyProtection="0">
      <alignment vertical="top"/>
    </xf>
    <xf numFmtId="66" fontId="9" fillId="4" borderId="17" applyNumberFormat="1" applyFont="1" applyFill="1" applyBorder="1" applyAlignment="1" applyProtection="0">
      <alignment vertical="top"/>
    </xf>
    <xf numFmtId="59" fontId="0" fillId="2" borderId="5" applyNumberFormat="1" applyFont="1" applyFill="1" applyBorder="1" applyAlignment="1" applyProtection="0">
      <alignment vertical="top"/>
    </xf>
    <xf numFmtId="66" fontId="0" fillId="2" borderId="5" applyNumberFormat="1" applyFont="1" applyFill="1" applyBorder="1" applyAlignment="1" applyProtection="0">
      <alignment vertical="top"/>
    </xf>
    <xf numFmtId="59" fontId="9" fillId="8" borderId="17" applyNumberFormat="1" applyFont="1" applyFill="1" applyBorder="1" applyAlignment="1" applyProtection="0">
      <alignment vertical="top"/>
    </xf>
    <xf numFmtId="68" fontId="0" fillId="2" borderId="45" applyNumberFormat="1" applyFont="1" applyFill="1" applyBorder="1" applyAlignment="1" applyProtection="0">
      <alignment vertical="top"/>
    </xf>
    <xf numFmtId="66" fontId="0" fillId="4" borderId="17" applyNumberFormat="1" applyFont="1" applyFill="1" applyBorder="1" applyAlignment="1" applyProtection="0">
      <alignment vertical="top"/>
    </xf>
    <xf numFmtId="60" fontId="9" fillId="4" borderId="40" applyNumberFormat="1" applyFont="1" applyFill="1" applyBorder="1" applyAlignment="1" applyProtection="0">
      <alignment vertical="top"/>
    </xf>
    <xf numFmtId="10" fontId="0" fillId="2" borderId="45" applyNumberFormat="1" applyFont="1" applyFill="1" applyBorder="1" applyAlignment="1" applyProtection="0">
      <alignment vertical="top"/>
    </xf>
    <xf numFmtId="60" fontId="9" fillId="2" borderId="43" applyNumberFormat="1" applyFont="1" applyFill="1" applyBorder="1" applyAlignment="1" applyProtection="0">
      <alignment vertical="top"/>
    </xf>
    <xf numFmtId="68" fontId="0" fillId="4" borderId="17" applyNumberFormat="1" applyFont="1" applyFill="1" applyBorder="1" applyAlignment="1" applyProtection="0">
      <alignment vertical="top"/>
    </xf>
    <xf numFmtId="66" fontId="0" fillId="2" borderId="45" applyNumberFormat="1" applyFont="1" applyFill="1" applyBorder="1" applyAlignment="1" applyProtection="0">
      <alignment vertical="top"/>
    </xf>
    <xf numFmtId="14" fontId="9" fillId="4" borderId="17" applyNumberFormat="1" applyFont="1" applyFill="1" applyBorder="1" applyAlignment="1" applyProtection="0">
      <alignment vertical="top"/>
    </xf>
    <xf numFmtId="49" fontId="8" fillId="5" borderId="45" applyNumberFormat="1" applyFont="1" applyFill="1" applyBorder="1" applyAlignment="1" applyProtection="0">
      <alignment vertical="top"/>
    </xf>
    <xf numFmtId="0" fontId="8" fillId="5" borderId="5" applyNumberFormat="0" applyFont="1" applyFill="1" applyBorder="1" applyAlignment="1" applyProtection="0">
      <alignment vertical="top"/>
    </xf>
    <xf numFmtId="66" fontId="8" fillId="5" borderId="17" applyNumberFormat="1" applyFont="1" applyFill="1" applyBorder="1" applyAlignment="1" applyProtection="0">
      <alignment vertical="top"/>
    </xf>
    <xf numFmtId="9" fontId="9" fillId="4" borderId="40" applyNumberFormat="1" applyFont="1" applyFill="1" applyBorder="1" applyAlignment="1" applyProtection="0">
      <alignment vertical="top"/>
    </xf>
    <xf numFmtId="0" fontId="0" fillId="2" borderId="13" applyNumberFormat="0" applyFont="1" applyFill="1" applyBorder="1" applyAlignment="1" applyProtection="0">
      <alignment vertical="top"/>
    </xf>
    <xf numFmtId="49" fontId="16" fillId="2" borderId="14" applyNumberFormat="1" applyFont="1" applyFill="1" applyBorder="1" applyAlignment="1" applyProtection="0">
      <alignment vertical="top"/>
    </xf>
    <xf numFmtId="0" fontId="16" fillId="2" borderId="14" applyNumberFormat="0" applyFont="1" applyFill="1" applyBorder="1" applyAlignment="1" applyProtection="0">
      <alignment vertical="top"/>
    </xf>
    <xf numFmtId="66" fontId="16" fillId="2" borderId="14" applyNumberFormat="1" applyFont="1" applyFill="1" applyBorder="1" applyAlignment="1" applyProtection="0">
      <alignment vertical="top"/>
    </xf>
    <xf numFmtId="0" fontId="0" fillId="2" borderId="14" applyNumberFormat="0" applyFont="1" applyFill="1" applyBorder="1" applyAlignment="1" applyProtection="0">
      <alignment vertical="top"/>
    </xf>
    <xf numFmtId="0" fontId="0" fillId="2" borderId="15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0" fontId="6" fillId="2" borderId="2" applyNumberFormat="0" applyFont="1" applyFill="1" applyBorder="1" applyAlignment="1" applyProtection="0">
      <alignment horizontal="left" vertical="top"/>
    </xf>
    <xf numFmtId="0" fontId="6" fillId="2" borderId="2" applyNumberFormat="0" applyFont="1" applyFill="1" applyBorder="1" applyAlignment="1" applyProtection="0">
      <alignment horizontal="center" vertical="top"/>
    </xf>
    <xf numFmtId="0" fontId="6" fillId="2" borderId="5" applyNumberFormat="0" applyFont="1" applyFill="1" applyBorder="1" applyAlignment="1" applyProtection="0">
      <alignment horizontal="center" vertical="top"/>
    </xf>
    <xf numFmtId="0" fontId="17" fillId="2" borderId="5" applyNumberFormat="0" applyFont="1" applyFill="1" applyBorder="1" applyAlignment="1" applyProtection="0">
      <alignment horizontal="left" vertical="top"/>
    </xf>
    <xf numFmtId="0" fontId="17" fillId="2" borderId="5" applyNumberFormat="0" applyFont="1" applyFill="1" applyBorder="1" applyAlignment="1" applyProtection="0">
      <alignment horizontal="center" vertical="top"/>
    </xf>
    <xf numFmtId="0" fontId="0" fillId="2" borderId="58" applyNumberFormat="0" applyFont="1" applyFill="1" applyBorder="1" applyAlignment="1" applyProtection="0">
      <alignment vertical="top"/>
    </xf>
    <xf numFmtId="0" fontId="0" fillId="2" borderId="59" applyNumberFormat="0" applyFont="1" applyFill="1" applyBorder="1" applyAlignment="1" applyProtection="0">
      <alignment vertical="top"/>
    </xf>
    <xf numFmtId="0" fontId="0" fillId="2" borderId="60" applyNumberFormat="0" applyFont="1" applyFill="1" applyBorder="1" applyAlignment="1" applyProtection="0">
      <alignment vertical="top"/>
    </xf>
    <xf numFmtId="49" fontId="8" fillId="3" borderId="61" applyNumberFormat="1" applyFont="1" applyFill="1" applyBorder="1" applyAlignment="1" applyProtection="0">
      <alignment horizontal="center" vertical="bottom"/>
    </xf>
    <xf numFmtId="0" fontId="0" fillId="2" borderId="62" applyNumberFormat="0" applyFont="1" applyFill="1" applyBorder="1" applyAlignment="1" applyProtection="0">
      <alignment vertical="top"/>
    </xf>
    <xf numFmtId="0" fontId="10" fillId="2" borderId="4" applyNumberFormat="0" applyFont="1" applyFill="1" applyBorder="1" applyAlignment="1" applyProtection="0">
      <alignment vertical="top"/>
    </xf>
    <xf numFmtId="0" fontId="10" fillId="2" borderId="59" applyNumberFormat="0" applyFont="1" applyFill="1" applyBorder="1" applyAlignment="1" applyProtection="0">
      <alignment vertical="bottom"/>
    </xf>
    <xf numFmtId="49" fontId="8" fillId="3" borderId="63" applyNumberFormat="1" applyFont="1" applyFill="1" applyBorder="1" applyAlignment="1" applyProtection="0">
      <alignment horizontal="center" vertical="bottom"/>
    </xf>
    <xf numFmtId="49" fontId="8" fillId="3" borderId="60" applyNumberFormat="1" applyFont="1" applyFill="1" applyBorder="1" applyAlignment="1" applyProtection="0">
      <alignment horizontal="center" vertical="bottom"/>
    </xf>
    <xf numFmtId="17" fontId="8" fillId="3" borderId="63" applyNumberFormat="1" applyFont="1" applyFill="1" applyBorder="1" applyAlignment="1" applyProtection="0">
      <alignment horizontal="center" vertical="bottom"/>
    </xf>
    <xf numFmtId="49" fontId="8" fillId="9" borderId="63" applyNumberFormat="1" applyFont="1" applyFill="1" applyBorder="1" applyAlignment="1" applyProtection="0">
      <alignment horizontal="center" vertical="bottom"/>
    </xf>
    <xf numFmtId="49" fontId="8" fillId="9" borderId="64" applyNumberFormat="1" applyFont="1" applyFill="1" applyBorder="1" applyAlignment="1" applyProtection="0">
      <alignment horizontal="center" vertical="bottom"/>
    </xf>
    <xf numFmtId="0" fontId="10" fillId="2" borderId="65" applyNumberFormat="0" applyFont="1" applyFill="1" applyBorder="1" applyAlignment="1" applyProtection="0">
      <alignment vertical="top"/>
    </xf>
    <xf numFmtId="0" fontId="18" fillId="2" borderId="66" applyNumberFormat="0" applyFont="1" applyFill="1" applyBorder="1" applyAlignment="1" applyProtection="0">
      <alignment horizontal="center" vertical="bottom"/>
    </xf>
    <xf numFmtId="49" fontId="13" fillId="2" borderId="66" applyNumberFormat="1" applyFont="1" applyFill="1" applyBorder="1" applyAlignment="1" applyProtection="0">
      <alignment horizontal="center" vertical="bottom"/>
    </xf>
    <xf numFmtId="0" fontId="10" fillId="2" borderId="5" applyNumberFormat="0" applyFont="1" applyFill="1" applyBorder="1" applyAlignment="1" applyProtection="0">
      <alignment vertical="bottom"/>
    </xf>
    <xf numFmtId="0" fontId="11" fillId="2" borderId="5" applyNumberFormat="0" applyFont="1" applyFill="1" applyBorder="1" applyAlignment="1" applyProtection="0">
      <alignment horizontal="center" vertical="bottom"/>
    </xf>
    <xf numFmtId="0" fontId="10" fillId="2" borderId="5" applyNumberFormat="0" applyFont="1" applyFill="1" applyBorder="1" applyAlignment="1" applyProtection="0">
      <alignment vertical="top"/>
    </xf>
    <xf numFmtId="49" fontId="6" fillId="2" borderId="5" applyNumberFormat="1" applyFont="1" applyFill="1" applyBorder="1" applyAlignment="1" applyProtection="0">
      <alignment vertical="bottom"/>
    </xf>
    <xf numFmtId="49" fontId="6" fillId="2" borderId="5" applyNumberFormat="1" applyFont="1" applyFill="1" applyBorder="1" applyAlignment="1" applyProtection="0">
      <alignment horizontal="center" vertical="bottom"/>
    </xf>
    <xf numFmtId="69" fontId="10" fillId="2" borderId="5" applyNumberFormat="1" applyFont="1" applyFill="1" applyBorder="1" applyAlignment="1" applyProtection="0">
      <alignment vertical="bottom"/>
    </xf>
    <xf numFmtId="49" fontId="12" fillId="2" borderId="5" applyNumberFormat="1" applyFont="1" applyFill="1" applyBorder="1" applyAlignment="1" applyProtection="0">
      <alignment horizontal="left" vertical="bottom"/>
    </xf>
    <xf numFmtId="60" fontId="7" fillId="2" borderId="5" applyNumberFormat="1" applyFont="1" applyFill="1" applyBorder="1" applyAlignment="1" applyProtection="0">
      <alignment vertical="bottom"/>
    </xf>
    <xf numFmtId="49" fontId="12" fillId="2" borderId="5" applyNumberFormat="1" applyFont="1" applyFill="1" applyBorder="1" applyAlignment="1" applyProtection="0">
      <alignment vertical="bottom"/>
    </xf>
    <xf numFmtId="9" fontId="12" fillId="2" borderId="5" applyNumberFormat="1" applyFont="1" applyFill="1" applyBorder="1" applyAlignment="1" applyProtection="0">
      <alignment vertical="bottom"/>
    </xf>
    <xf numFmtId="68" fontId="6" fillId="2" borderId="5" applyNumberFormat="1" applyFont="1" applyFill="1" applyBorder="1" applyAlignment="1" applyProtection="0">
      <alignment vertical="bottom"/>
    </xf>
    <xf numFmtId="68" fontId="10" fillId="2" borderId="5" applyNumberFormat="1" applyFont="1" applyFill="1" applyBorder="1" applyAlignment="1" applyProtection="0">
      <alignment vertical="bottom"/>
    </xf>
    <xf numFmtId="49" fontId="6" fillId="4" borderId="5" applyNumberFormat="1" applyFont="1" applyFill="1" applyBorder="1" applyAlignment="1" applyProtection="0">
      <alignment vertical="bottom"/>
    </xf>
    <xf numFmtId="68" fontId="6" fillId="4" borderId="5" applyNumberFormat="1" applyFont="1" applyFill="1" applyBorder="1" applyAlignment="1" applyProtection="0">
      <alignment vertical="bottom"/>
    </xf>
    <xf numFmtId="49" fontId="12" fillId="2" borderId="5" applyNumberFormat="1" applyFont="1" applyFill="1" applyBorder="1" applyAlignment="1" applyProtection="0">
      <alignment horizontal="left" vertical="center"/>
    </xf>
    <xf numFmtId="60" fontId="12" fillId="2" borderId="5" applyNumberFormat="1" applyFont="1" applyFill="1" applyBorder="1" applyAlignment="1" applyProtection="0">
      <alignment vertical="center"/>
    </xf>
    <xf numFmtId="49" fontId="12" fillId="2" borderId="5" applyNumberFormat="1" applyFont="1" applyFill="1" applyBorder="1" applyAlignment="1" applyProtection="0">
      <alignment horizontal="right" vertical="center"/>
    </xf>
    <xf numFmtId="9" fontId="12" fillId="2" borderId="5" applyNumberFormat="1" applyFont="1" applyFill="1" applyBorder="1" applyAlignment="1" applyProtection="0">
      <alignment horizontal="right" vertical="center"/>
    </xf>
    <xf numFmtId="59" fontId="6" fillId="2" borderId="5" applyNumberFormat="1" applyFont="1" applyFill="1" applyBorder="1" applyAlignment="1" applyProtection="0">
      <alignment horizontal="center" vertical="bottom"/>
    </xf>
    <xf numFmtId="9" fontId="12" fillId="2" borderId="5" applyNumberFormat="1" applyFont="1" applyFill="1" applyBorder="1" applyAlignment="1" applyProtection="0">
      <alignment vertical="center"/>
    </xf>
    <xf numFmtId="69" fontId="0" fillId="2" borderId="5" applyNumberFormat="1" applyFont="1" applyFill="1" applyBorder="1" applyAlignment="1" applyProtection="0">
      <alignment vertical="top"/>
    </xf>
    <xf numFmtId="70" fontId="10" fillId="2" borderId="5" applyNumberFormat="1" applyFont="1" applyFill="1" applyBorder="1" applyAlignment="1" applyProtection="0">
      <alignment vertical="bottom"/>
    </xf>
    <xf numFmtId="49" fontId="6" fillId="2" borderId="5" applyNumberFormat="1" applyFont="1" applyFill="1" applyBorder="1" applyAlignment="1" applyProtection="0">
      <alignment horizontal="center" vertical="top"/>
    </xf>
    <xf numFmtId="0" fontId="6" fillId="2" borderId="5" applyNumberFormat="0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top"/>
    </xf>
    <xf numFmtId="69" fontId="6" fillId="2" borderId="5" applyNumberFormat="1" applyFont="1" applyFill="1" applyBorder="1" applyAlignment="1" applyProtection="0">
      <alignment vertical="bottom"/>
    </xf>
    <xf numFmtId="49" fontId="10" fillId="2" borderId="5" applyNumberFormat="1" applyFont="1" applyFill="1" applyBorder="1" applyAlignment="1" applyProtection="0">
      <alignment horizontal="center" vertical="top"/>
    </xf>
    <xf numFmtId="69" fontId="0" fillId="2" borderId="5" applyNumberFormat="1" applyFont="1" applyFill="1" applyBorder="1" applyAlignment="1" applyProtection="0">
      <alignment vertical="bottom"/>
    </xf>
    <xf numFmtId="0" fontId="0" fillId="2" borderId="67" applyNumberFormat="0" applyFont="1" applyFill="1" applyBorder="1" applyAlignment="1" applyProtection="0">
      <alignment vertical="top"/>
    </xf>
    <xf numFmtId="49" fontId="6" fillId="10" borderId="68" applyNumberFormat="1" applyFont="1" applyFill="1" applyBorder="1" applyAlignment="1" applyProtection="0">
      <alignment vertical="bottom"/>
    </xf>
    <xf numFmtId="68" fontId="6" fillId="10" borderId="69" applyNumberFormat="1" applyFont="1" applyFill="1" applyBorder="1" applyAlignment="1" applyProtection="0">
      <alignment vertical="bottom"/>
    </xf>
    <xf numFmtId="68" fontId="6" fillId="10" borderId="70" applyNumberFormat="1" applyFont="1" applyFill="1" applyBorder="1" applyAlignment="1" applyProtection="0">
      <alignment vertical="bottom"/>
    </xf>
    <xf numFmtId="0" fontId="0" fillId="2" borderId="65" applyNumberFormat="0" applyFont="1" applyFill="1" applyBorder="1" applyAlignment="1" applyProtection="0">
      <alignment vertical="top"/>
    </xf>
    <xf numFmtId="68" fontId="0" fillId="2" borderId="5" applyNumberFormat="1" applyFont="1" applyFill="1" applyBorder="1" applyAlignment="1" applyProtection="0">
      <alignment vertical="top"/>
    </xf>
    <xf numFmtId="49" fontId="12" fillId="2" borderId="66" applyNumberFormat="1" applyFont="1" applyFill="1" applyBorder="1" applyAlignment="1" applyProtection="0">
      <alignment horizontal="left" vertical="center"/>
    </xf>
    <xf numFmtId="0" fontId="0" fillId="2" borderId="66" applyNumberFormat="0" applyFont="1" applyFill="1" applyBorder="1" applyAlignment="1" applyProtection="0">
      <alignment vertical="top"/>
    </xf>
    <xf numFmtId="49" fontId="12" fillId="2" borderId="66" applyNumberFormat="1" applyFont="1" applyFill="1" applyBorder="1" applyAlignment="1" applyProtection="0">
      <alignment horizontal="right" vertical="center"/>
    </xf>
    <xf numFmtId="9" fontId="12" fillId="2" borderId="66" applyNumberFormat="1" applyFont="1" applyFill="1" applyBorder="1" applyAlignment="1" applyProtection="0">
      <alignment horizontal="right" vertical="center"/>
    </xf>
    <xf numFmtId="71" fontId="0" fillId="2" borderId="5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49" fontId="6" fillId="2" borderId="5" applyNumberFormat="1" applyFont="1" applyFill="1" applyBorder="1" applyAlignment="1" applyProtection="0">
      <alignment horizontal="left" vertical="top"/>
    </xf>
    <xf numFmtId="0" fontId="0" fillId="2" borderId="71" applyNumberFormat="0" applyFont="1" applyFill="1" applyBorder="1" applyAlignment="1" applyProtection="0">
      <alignment vertical="top"/>
    </xf>
    <xf numFmtId="17" fontId="8" fillId="9" borderId="63" applyNumberFormat="1" applyFont="1" applyFill="1" applyBorder="1" applyAlignment="1" applyProtection="0">
      <alignment horizontal="center" vertical="bottom"/>
    </xf>
    <xf numFmtId="17" fontId="8" fillId="9" borderId="64" applyNumberFormat="1" applyFont="1" applyFill="1" applyBorder="1" applyAlignment="1" applyProtection="0">
      <alignment horizontal="center" vertical="bottom"/>
    </xf>
    <xf numFmtId="0" fontId="13" fillId="2" borderId="66" applyNumberFormat="0" applyFont="1" applyFill="1" applyBorder="1" applyAlignment="1" applyProtection="0">
      <alignment vertical="bottom"/>
    </xf>
    <xf numFmtId="0" fontId="13" fillId="2" borderId="66" applyNumberFormat="0" applyFont="1" applyFill="1" applyBorder="1" applyAlignment="1" applyProtection="0">
      <alignment horizontal="center" vertical="bottom"/>
    </xf>
    <xf numFmtId="69" fontId="10" fillId="2" borderId="5" applyNumberFormat="1" applyFont="1" applyFill="1" applyBorder="1" applyAlignment="1" applyProtection="0">
      <alignment horizontal="center" vertical="bottom"/>
    </xf>
    <xf numFmtId="0" fontId="6" fillId="2" borderId="5" applyNumberFormat="0" applyFont="1" applyFill="1" applyBorder="1" applyAlignment="1" applyProtection="0">
      <alignment vertical="top"/>
    </xf>
    <xf numFmtId="0" fontId="17" fillId="2" borderId="5" applyNumberFormat="0" applyFont="1" applyFill="1" applyBorder="1" applyAlignment="1" applyProtection="0">
      <alignment vertical="top"/>
    </xf>
    <xf numFmtId="69" fontId="12" fillId="2" borderId="5" applyNumberFormat="1" applyFont="1" applyFill="1" applyBorder="1" applyAlignment="1" applyProtection="0">
      <alignment vertical="bottom"/>
    </xf>
    <xf numFmtId="49" fontId="6" fillId="11" borderId="5" applyNumberFormat="1" applyFont="1" applyFill="1" applyBorder="1" applyAlignment="1" applyProtection="0">
      <alignment vertical="bottom"/>
    </xf>
    <xf numFmtId="59" fontId="6" fillId="11" borderId="5" applyNumberFormat="1" applyFont="1" applyFill="1" applyBorder="1" applyAlignment="1" applyProtection="0">
      <alignment horizontal="center" vertical="bottom"/>
    </xf>
    <xf numFmtId="69" fontId="6" fillId="2" borderId="5" applyNumberFormat="1" applyFont="1" applyFill="1" applyBorder="1" applyAlignment="1" applyProtection="0">
      <alignment horizontal="center" vertical="bottom"/>
    </xf>
    <xf numFmtId="68" fontId="6" fillId="2" borderId="5" applyNumberFormat="1" applyFont="1" applyFill="1" applyBorder="1" applyAlignment="1" applyProtection="0">
      <alignment vertical="top"/>
    </xf>
    <xf numFmtId="69" fontId="6" fillId="11" borderId="5" applyNumberFormat="1" applyFont="1" applyFill="1" applyBorder="1" applyAlignment="1" applyProtection="0">
      <alignment horizontal="center" vertical="bottom"/>
    </xf>
    <xf numFmtId="69" fontId="6" fillId="11" borderId="5" applyNumberFormat="1" applyFont="1" applyFill="1" applyBorder="1" applyAlignment="1" applyProtection="0">
      <alignment vertical="bottom"/>
    </xf>
    <xf numFmtId="0" fontId="6" fillId="2" borderId="58" applyNumberFormat="0" applyFont="1" applyFill="1" applyBorder="1" applyAlignment="1" applyProtection="0">
      <alignment vertical="bottom"/>
    </xf>
    <xf numFmtId="59" fontId="6" fillId="2" borderId="58" applyNumberFormat="1" applyFont="1" applyFill="1" applyBorder="1" applyAlignment="1" applyProtection="0">
      <alignment horizontal="center" vertical="bottom"/>
    </xf>
    <xf numFmtId="68" fontId="6" fillId="2" borderId="58" applyNumberFormat="1" applyFont="1" applyFill="1" applyBorder="1" applyAlignment="1" applyProtection="0">
      <alignment vertical="bottom"/>
    </xf>
    <xf numFmtId="49" fontId="6" fillId="12" borderId="68" applyNumberFormat="1" applyFont="1" applyFill="1" applyBorder="1" applyAlignment="1" applyProtection="0">
      <alignment vertical="bottom"/>
    </xf>
    <xf numFmtId="59" fontId="6" fillId="12" borderId="69" applyNumberFormat="1" applyFont="1" applyFill="1" applyBorder="1" applyAlignment="1" applyProtection="0">
      <alignment horizontal="center" vertical="bottom"/>
    </xf>
    <xf numFmtId="68" fontId="6" fillId="12" borderId="69" applyNumberFormat="1" applyFont="1" applyFill="1" applyBorder="1" applyAlignment="1" applyProtection="0">
      <alignment horizontal="center" vertical="bottom"/>
    </xf>
    <xf numFmtId="68" fontId="6" fillId="12" borderId="70" applyNumberFormat="1" applyFont="1" applyFill="1" applyBorder="1" applyAlignment="1" applyProtection="0">
      <alignment horizontal="center" vertical="bottom"/>
    </xf>
    <xf numFmtId="0" fontId="6" fillId="2" borderId="65" applyNumberFormat="0" applyFont="1" applyFill="1" applyBorder="1" applyAlignment="1" applyProtection="0">
      <alignment vertical="top"/>
    </xf>
    <xf numFmtId="0" fontId="6" fillId="2" borderId="66" applyNumberFormat="0" applyFont="1" applyFill="1" applyBorder="1" applyAlignment="1" applyProtection="0">
      <alignment vertical="bottom"/>
    </xf>
    <xf numFmtId="59" fontId="6" fillId="2" borderId="66" applyNumberFormat="1" applyFont="1" applyFill="1" applyBorder="1" applyAlignment="1" applyProtection="0">
      <alignment horizontal="center" vertical="bottom"/>
    </xf>
    <xf numFmtId="68" fontId="6" fillId="2" borderId="66" applyNumberFormat="1" applyFont="1" applyFill="1" applyBorder="1" applyAlignment="1" applyProtection="0">
      <alignment vertical="bottom"/>
    </xf>
    <xf numFmtId="69" fontId="10" fillId="11" borderId="5" applyNumberFormat="1" applyFont="1" applyFill="1" applyBorder="1" applyAlignment="1" applyProtection="0">
      <alignment horizontal="right" vertical="bottom"/>
    </xf>
    <xf numFmtId="0" fontId="6" fillId="2" borderId="58" applyNumberFormat="0" applyFont="1" applyFill="1" applyBorder="1" applyAlignment="1" applyProtection="0">
      <alignment vertical="top"/>
    </xf>
    <xf numFmtId="49" fontId="6" fillId="12" borderId="68" applyNumberFormat="1" applyFont="1" applyFill="1" applyBorder="1" applyAlignment="1" applyProtection="0">
      <alignment vertical="top"/>
    </xf>
    <xf numFmtId="0" fontId="0" fillId="12" borderId="69" applyNumberFormat="0" applyFont="1" applyFill="1" applyBorder="1" applyAlignment="1" applyProtection="0">
      <alignment vertical="top"/>
    </xf>
    <xf numFmtId="68" fontId="6" fillId="12" borderId="69" applyNumberFormat="1" applyFont="1" applyFill="1" applyBorder="1" applyAlignment="1" applyProtection="0">
      <alignment vertical="top"/>
    </xf>
    <xf numFmtId="68" fontId="6" fillId="12" borderId="70" applyNumberFormat="1" applyFont="1" applyFill="1" applyBorder="1" applyAlignment="1" applyProtection="0">
      <alignment vertical="top"/>
    </xf>
    <xf numFmtId="0" fontId="6" fillId="2" borderId="66" applyNumberFormat="0" applyFont="1" applyFill="1" applyBorder="1" applyAlignment="1" applyProtection="0">
      <alignment vertical="top"/>
    </xf>
    <xf numFmtId="49" fontId="19" fillId="2" borderId="5" applyNumberFormat="1" applyFont="1" applyFill="1" applyBorder="1" applyAlignment="1" applyProtection="0">
      <alignment vertical="bottom"/>
    </xf>
    <xf numFmtId="59" fontId="20" fillId="2" borderId="5" applyNumberFormat="1" applyFont="1" applyFill="1" applyBorder="1" applyAlignment="1" applyProtection="0">
      <alignment horizontal="center" vertical="bottom"/>
    </xf>
    <xf numFmtId="59" fontId="10" fillId="2" borderId="5" applyNumberFormat="1" applyFont="1" applyFill="1" applyBorder="1" applyAlignment="1" applyProtection="0">
      <alignment horizontal="center" vertical="bottom"/>
    </xf>
    <xf numFmtId="9" fontId="20" fillId="2" borderId="5" applyNumberFormat="1" applyFont="1" applyFill="1" applyBorder="1" applyAlignment="1" applyProtection="0">
      <alignment horizontal="center" vertical="top"/>
    </xf>
    <xf numFmtId="9" fontId="10" fillId="2" borderId="5" applyNumberFormat="1" applyFont="1" applyFill="1" applyBorder="1" applyAlignment="1" applyProtection="0">
      <alignment horizontal="center" vertical="top"/>
    </xf>
    <xf numFmtId="59" fontId="10" fillId="2" borderId="5" applyNumberFormat="1" applyFont="1" applyFill="1" applyBorder="1" applyAlignment="1" applyProtection="0">
      <alignment horizontal="left" vertical="bottom"/>
    </xf>
    <xf numFmtId="49" fontId="10" fillId="2" borderId="5" applyNumberFormat="1" applyFont="1" applyFill="1" applyBorder="1" applyAlignment="1" applyProtection="0">
      <alignment horizontal="right" vertical="top"/>
    </xf>
    <xf numFmtId="0" fontId="0" applyNumberFormat="1" applyFont="1" applyFill="0" applyBorder="0" applyAlignment="1" applyProtection="0">
      <alignment vertical="top"/>
    </xf>
    <xf numFmtId="17" fontId="8" fillId="2" borderId="5" applyNumberFormat="1" applyFont="1" applyFill="1" applyBorder="1" applyAlignment="1" applyProtection="0">
      <alignment horizontal="center" vertical="bottom"/>
    </xf>
    <xf numFmtId="17" fontId="8" fillId="2" borderId="59" applyNumberFormat="1" applyFont="1" applyFill="1" applyBorder="1" applyAlignment="1" applyProtection="0">
      <alignment horizontal="center" vertical="bottom"/>
    </xf>
    <xf numFmtId="68" fontId="6" fillId="2" borderId="5" applyNumberFormat="1" applyFont="1" applyFill="1" applyBorder="1" applyAlignment="1" applyProtection="0">
      <alignment horizontal="center" vertical="bottom"/>
    </xf>
    <xf numFmtId="69" fontId="10" fillId="2" borderId="5" applyNumberFormat="1" applyFont="1" applyFill="1" applyBorder="1" applyAlignment="1" applyProtection="0">
      <alignment vertical="top"/>
    </xf>
    <xf numFmtId="69" fontId="10" fillId="2" borderId="5" applyNumberFormat="1" applyFont="1" applyFill="1" applyBorder="1" applyAlignment="1" applyProtection="0">
      <alignment horizontal="left" vertical="bottom"/>
    </xf>
    <xf numFmtId="68" fontId="6" fillId="11" borderId="5" applyNumberFormat="1" applyFont="1" applyFill="1" applyBorder="1" applyAlignment="1" applyProtection="0">
      <alignment horizontal="center" vertical="bottom"/>
    </xf>
    <xf numFmtId="68" fontId="10" fillId="2" borderId="5" applyNumberFormat="1" applyFont="1" applyFill="1" applyBorder="1" applyAlignment="1" applyProtection="0">
      <alignment vertical="top"/>
    </xf>
    <xf numFmtId="68" fontId="6" fillId="11" borderId="5" applyNumberFormat="1" applyFont="1" applyFill="1" applyBorder="1" applyAlignment="1" applyProtection="0">
      <alignment vertical="bottom"/>
    </xf>
    <xf numFmtId="49" fontId="6" fillId="2" borderId="5" applyNumberFormat="1" applyFont="1" applyFill="1" applyBorder="1" applyAlignment="1" applyProtection="0">
      <alignment horizontal="left" vertical="bottom"/>
    </xf>
    <xf numFmtId="49" fontId="6" fillId="11" borderId="5" applyNumberFormat="1" applyFont="1" applyFill="1" applyBorder="1" applyAlignment="1" applyProtection="0">
      <alignment horizontal="center" vertical="bottom"/>
    </xf>
    <xf numFmtId="68" fontId="6" fillId="2" borderId="58" applyNumberFormat="1" applyFont="1" applyFill="1" applyBorder="1" applyAlignment="1" applyProtection="0">
      <alignment horizontal="center" vertical="bottom"/>
    </xf>
    <xf numFmtId="49" fontId="12" fillId="2" borderId="58" applyNumberFormat="1" applyFont="1" applyFill="1" applyBorder="1" applyAlignment="1" applyProtection="0">
      <alignment horizontal="center" vertical="bottom"/>
    </xf>
    <xf numFmtId="0" fontId="0" fillId="2" borderId="72" applyNumberFormat="0" applyFont="1" applyFill="1" applyBorder="1" applyAlignment="1" applyProtection="0">
      <alignment vertical="top"/>
    </xf>
    <xf numFmtId="49" fontId="6" fillId="13" borderId="68" applyNumberFormat="1" applyFont="1" applyFill="1" applyBorder="1" applyAlignment="1" applyProtection="0">
      <alignment vertical="bottom"/>
    </xf>
    <xf numFmtId="68" fontId="6" fillId="13" borderId="69" applyNumberFormat="1" applyFont="1" applyFill="1" applyBorder="1" applyAlignment="1" applyProtection="0">
      <alignment horizontal="center" vertical="bottom"/>
    </xf>
    <xf numFmtId="68" fontId="6" fillId="13" borderId="70" applyNumberFormat="1" applyFont="1" applyFill="1" applyBorder="1" applyAlignment="1" applyProtection="0">
      <alignment horizontal="center" vertical="bottom"/>
    </xf>
    <xf numFmtId="0" fontId="6" fillId="2" borderId="69" applyNumberFormat="0" applyFont="1" applyFill="1" applyBorder="1" applyAlignment="1" applyProtection="0">
      <alignment vertical="bottom"/>
    </xf>
    <xf numFmtId="68" fontId="6" fillId="2" borderId="69" applyNumberFormat="1" applyFont="1" applyFill="1" applyBorder="1" applyAlignment="1" applyProtection="0">
      <alignment horizontal="center" vertical="bottom"/>
    </xf>
    <xf numFmtId="68" fontId="6" fillId="2" borderId="66" applyNumberFormat="1" applyFont="1" applyFill="1" applyBorder="1" applyAlignment="1" applyProtection="0">
      <alignment horizontal="center" vertical="bottom"/>
    </xf>
    <xf numFmtId="70" fontId="6" fillId="2" borderId="5" applyNumberFormat="1" applyFont="1" applyFill="1" applyBorder="1" applyAlignment="1" applyProtection="0">
      <alignment vertical="bottom"/>
    </xf>
    <xf numFmtId="0" fontId="6" fillId="2" borderId="14" applyNumberFormat="0" applyFont="1" applyFill="1" applyBorder="1" applyAlignment="1" applyProtection="0">
      <alignment vertical="bottom"/>
    </xf>
    <xf numFmtId="68" fontId="6" fillId="2" borderId="14" applyNumberFormat="1" applyFont="1" applyFill="1" applyBorder="1" applyAlignment="1" applyProtection="0">
      <alignment horizontal="center" vertical="bottom"/>
    </xf>
    <xf numFmtId="68" fontId="6" fillId="2" borderId="14" applyNumberFormat="1" applyFont="1" applyFill="1" applyBorder="1" applyAlignment="1" applyProtection="0">
      <alignment vertical="bottom"/>
    </xf>
    <xf numFmtId="0" fontId="17" fillId="2" borderId="14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49" fontId="4" fillId="2" borderId="9" applyNumberFormat="1" applyFont="1" applyFill="1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top"/>
    </xf>
    <xf numFmtId="0" fontId="12" fillId="2" borderId="5" applyNumberFormat="0" applyFont="1" applyFill="1" applyBorder="1" applyAlignment="1" applyProtection="0">
      <alignment horizontal="right" vertical="top"/>
    </xf>
    <xf numFmtId="1" fontId="12" fillId="2" borderId="5" applyNumberFormat="1" applyFont="1" applyFill="1" applyBorder="1" applyAlignment="1" applyProtection="0">
      <alignment vertical="top"/>
    </xf>
    <xf numFmtId="69" fontId="0" fillId="2" borderId="58" applyNumberFormat="1" applyFont="1" applyFill="1" applyBorder="1" applyAlignment="1" applyProtection="0">
      <alignment vertical="top"/>
    </xf>
    <xf numFmtId="0" fontId="12" fillId="2" borderId="58" applyNumberFormat="0" applyFont="1" applyFill="1" applyBorder="1" applyAlignment="1" applyProtection="0">
      <alignment horizontal="right" vertical="top"/>
    </xf>
    <xf numFmtId="1" fontId="12" fillId="2" borderId="58" applyNumberFormat="1" applyFont="1" applyFill="1" applyBorder="1" applyAlignment="1" applyProtection="0">
      <alignment vertical="top"/>
    </xf>
    <xf numFmtId="49" fontId="8" fillId="3" borderId="73" applyNumberFormat="1" applyFont="1" applyFill="1" applyBorder="1" applyAlignment="1" applyProtection="0">
      <alignment horizontal="center" vertical="bottom"/>
    </xf>
    <xf numFmtId="0" fontId="0" fillId="2" borderId="68" applyNumberFormat="0" applyFont="1" applyFill="1" applyBorder="1" applyAlignment="1" applyProtection="0">
      <alignment vertical="top"/>
    </xf>
    <xf numFmtId="0" fontId="0" fillId="2" borderId="74" applyNumberFormat="0" applyFont="1" applyFill="1" applyBorder="1" applyAlignment="1" applyProtection="0">
      <alignment vertical="top"/>
    </xf>
    <xf numFmtId="0" fontId="0" fillId="2" borderId="75" applyNumberFormat="0" applyFont="1" applyFill="1" applyBorder="1" applyAlignment="1" applyProtection="0">
      <alignment vertical="top"/>
    </xf>
    <xf numFmtId="0" fontId="0" fillId="2" borderId="69" applyNumberFormat="0" applyFont="1" applyFill="1" applyBorder="1" applyAlignment="1" applyProtection="0">
      <alignment vertical="top"/>
    </xf>
    <xf numFmtId="0" fontId="0" fillId="2" borderId="70" applyNumberFormat="0" applyFont="1" applyFill="1" applyBorder="1" applyAlignment="1" applyProtection="0">
      <alignment vertical="top"/>
    </xf>
    <xf numFmtId="0" fontId="8" fillId="3" borderId="76" applyNumberFormat="0" applyFont="1" applyFill="1" applyBorder="1" applyAlignment="1" applyProtection="0">
      <alignment horizontal="center" vertical="bottom"/>
    </xf>
    <xf numFmtId="49" fontId="8" fillId="3" borderId="68" applyNumberFormat="1" applyFont="1" applyFill="1" applyBorder="1" applyAlignment="1" applyProtection="0">
      <alignment horizontal="center" vertical="bottom"/>
    </xf>
    <xf numFmtId="0" fontId="8" fillId="3" borderId="74" applyNumberFormat="0" applyFont="1" applyFill="1" applyBorder="1" applyAlignment="1" applyProtection="0">
      <alignment horizontal="center" vertical="bottom"/>
    </xf>
    <xf numFmtId="0" fontId="0" fillId="2" borderId="77" applyNumberFormat="0" applyFont="1" applyFill="1" applyBorder="1" applyAlignment="1" applyProtection="0">
      <alignment vertical="bottom"/>
    </xf>
    <xf numFmtId="0" fontId="11" fillId="2" borderId="66" applyNumberFormat="0" applyFont="1" applyFill="1" applyBorder="1" applyAlignment="1" applyProtection="0">
      <alignment horizontal="center" vertical="bottom"/>
    </xf>
    <xf numFmtId="49" fontId="13" fillId="2" borderId="78" applyNumberFormat="1" applyFont="1" applyFill="1" applyBorder="1" applyAlignment="1" applyProtection="0">
      <alignment horizontal="center" vertical="bottom"/>
    </xf>
    <xf numFmtId="0" fontId="0" fillId="2" borderId="65" applyNumberFormat="0" applyFont="1" applyFill="1" applyBorder="1" applyAlignment="1" applyProtection="0">
      <alignment vertical="bottom"/>
    </xf>
    <xf numFmtId="49" fontId="10" fillId="2" borderId="65" applyNumberFormat="1" applyFont="1" applyFill="1" applyBorder="1" applyAlignment="1" applyProtection="0">
      <alignment horizontal="left" vertical="bottom"/>
    </xf>
    <xf numFmtId="72" fontId="6" fillId="2" borderId="5" applyNumberFormat="1" applyFont="1" applyFill="1" applyBorder="1" applyAlignment="1" applyProtection="0">
      <alignment horizontal="center" vertical="bottom"/>
    </xf>
    <xf numFmtId="69" fontId="20" fillId="2" borderId="5" applyNumberFormat="1" applyFont="1" applyFill="1" applyBorder="1" applyAlignment="1" applyProtection="0">
      <alignment vertical="bottom"/>
    </xf>
    <xf numFmtId="69" fontId="0" fillId="2" borderId="72" applyNumberFormat="1" applyFont="1" applyFill="1" applyBorder="1" applyAlignment="1" applyProtection="0">
      <alignment vertical="top"/>
    </xf>
    <xf numFmtId="49" fontId="12" fillId="2" borderId="65" applyNumberFormat="1" applyFont="1" applyFill="1" applyBorder="1" applyAlignment="1" applyProtection="0">
      <alignment horizontal="left" vertical="bottom"/>
    </xf>
    <xf numFmtId="70" fontId="21" fillId="2" borderId="5" applyNumberFormat="1" applyFont="1" applyFill="1" applyBorder="1" applyAlignment="1" applyProtection="0">
      <alignment vertical="bottom"/>
    </xf>
    <xf numFmtId="70" fontId="12" fillId="2" borderId="5" applyNumberFormat="1" applyFont="1" applyFill="1" applyBorder="1" applyAlignment="1" applyProtection="0">
      <alignment vertical="bottom"/>
    </xf>
    <xf numFmtId="71" fontId="12" fillId="2" borderId="5" applyNumberFormat="1" applyFont="1" applyFill="1" applyBorder="1" applyAlignment="1" applyProtection="0">
      <alignment vertical="bottom"/>
    </xf>
    <xf numFmtId="71" fontId="0" fillId="2" borderId="72" applyNumberFormat="1" applyFont="1" applyFill="1" applyBorder="1" applyAlignment="1" applyProtection="0">
      <alignment vertical="top"/>
    </xf>
    <xf numFmtId="70" fontId="12" fillId="2" borderId="65" applyNumberFormat="1" applyFont="1" applyFill="1" applyBorder="1" applyAlignment="1" applyProtection="0">
      <alignment horizontal="left" vertical="bottom"/>
    </xf>
    <xf numFmtId="71" fontId="21" fillId="2" borderId="5" applyNumberFormat="1" applyFont="1" applyFill="1" applyBorder="1" applyAlignment="1" applyProtection="0">
      <alignment vertical="bottom"/>
    </xf>
    <xf numFmtId="71" fontId="20" fillId="2" borderId="72" applyNumberFormat="1" applyFont="1" applyFill="1" applyBorder="1" applyAlignment="1" applyProtection="0">
      <alignment vertical="top"/>
    </xf>
    <xf numFmtId="71" fontId="0" fillId="2" borderId="5" applyNumberFormat="1" applyFont="1" applyFill="1" applyBorder="1" applyAlignment="1" applyProtection="0">
      <alignment vertical="bottom"/>
    </xf>
    <xf numFmtId="71" fontId="0" fillId="2" borderId="72" applyNumberFormat="1" applyFont="1" applyFill="1" applyBorder="1" applyAlignment="1" applyProtection="0">
      <alignment vertical="bottom"/>
    </xf>
    <xf numFmtId="70" fontId="12" fillId="2" borderId="79" applyNumberFormat="1" applyFont="1" applyFill="1" applyBorder="1" applyAlignment="1" applyProtection="0">
      <alignment horizontal="left" vertical="bottom"/>
    </xf>
    <xf numFmtId="70" fontId="21" fillId="2" borderId="58" applyNumberFormat="1" applyFont="1" applyFill="1" applyBorder="1" applyAlignment="1" applyProtection="0">
      <alignment vertical="bottom"/>
    </xf>
    <xf numFmtId="70" fontId="12" fillId="2" borderId="58" applyNumberFormat="1" applyFont="1" applyFill="1" applyBorder="1" applyAlignment="1" applyProtection="0">
      <alignment vertical="bottom"/>
    </xf>
    <xf numFmtId="71" fontId="12" fillId="2" borderId="58" applyNumberFormat="1" applyFont="1" applyFill="1" applyBorder="1" applyAlignment="1" applyProtection="0">
      <alignment vertical="bottom"/>
    </xf>
    <xf numFmtId="71" fontId="0" fillId="2" borderId="80" applyNumberFormat="1" applyFont="1" applyFill="1" applyBorder="1" applyAlignment="1" applyProtection="0">
      <alignment vertical="top"/>
    </xf>
    <xf numFmtId="49" fontId="6" fillId="11" borderId="68" applyNumberFormat="1" applyFont="1" applyFill="1" applyBorder="1" applyAlignment="1" applyProtection="0">
      <alignment horizontal="left" vertical="bottom"/>
    </xf>
    <xf numFmtId="73" fontId="6" fillId="11" borderId="69" applyNumberFormat="1" applyFont="1" applyFill="1" applyBorder="1" applyAlignment="1" applyProtection="0">
      <alignment vertical="bottom"/>
    </xf>
    <xf numFmtId="66" fontId="6" fillId="11" borderId="69" applyNumberFormat="1" applyFont="1" applyFill="1" applyBorder="1" applyAlignment="1" applyProtection="0">
      <alignment vertical="bottom"/>
    </xf>
    <xf numFmtId="66" fontId="6" fillId="11" borderId="70" applyNumberFormat="1" applyFont="1" applyFill="1" applyBorder="1" applyAlignment="1" applyProtection="0">
      <alignment vertical="bottom"/>
    </xf>
    <xf numFmtId="0" fontId="10" fillId="2" borderId="77" applyNumberFormat="0" applyFont="1" applyFill="1" applyBorder="1" applyAlignment="1" applyProtection="0">
      <alignment horizontal="left" vertical="bottom"/>
    </xf>
    <xf numFmtId="73" fontId="0" fillId="2" borderId="66" applyNumberFormat="1" applyFont="1" applyFill="1" applyBorder="1" applyAlignment="1" applyProtection="0">
      <alignment vertical="bottom"/>
    </xf>
    <xf numFmtId="71" fontId="0" fillId="2" borderId="66" applyNumberFormat="1" applyFont="1" applyFill="1" applyBorder="1" applyAlignment="1" applyProtection="0">
      <alignment vertical="bottom"/>
    </xf>
    <xf numFmtId="71" fontId="0" fillId="2" borderId="78" applyNumberFormat="1" applyFont="1" applyFill="1" applyBorder="1" applyAlignment="1" applyProtection="0">
      <alignment vertical="bottom"/>
    </xf>
    <xf numFmtId="49" fontId="10" fillId="2" borderId="79" applyNumberFormat="1" applyFont="1" applyFill="1" applyBorder="1" applyAlignment="1" applyProtection="0">
      <alignment horizontal="left" vertical="bottom"/>
    </xf>
    <xf numFmtId="69" fontId="0" fillId="2" borderId="58" applyNumberFormat="1" applyFont="1" applyFill="1" applyBorder="1" applyAlignment="1" applyProtection="0">
      <alignment vertical="bottom"/>
    </xf>
    <xf numFmtId="69" fontId="0" fillId="14" borderId="58" applyNumberFormat="1" applyFont="1" applyFill="1" applyBorder="1" applyAlignment="1" applyProtection="0">
      <alignment vertical="bottom"/>
    </xf>
    <xf numFmtId="69" fontId="0" fillId="14" borderId="58" applyNumberFormat="1" applyFont="1" applyFill="1" applyBorder="1" applyAlignment="1" applyProtection="0">
      <alignment vertical="top"/>
    </xf>
    <xf numFmtId="69" fontId="0" fillId="14" borderId="80" applyNumberFormat="1" applyFont="1" applyFill="1" applyBorder="1" applyAlignment="1" applyProtection="0">
      <alignment vertical="bottom"/>
    </xf>
    <xf numFmtId="73" fontId="0" fillId="2" borderId="78" applyNumberFormat="1" applyFont="1" applyFill="1" applyBorder="1" applyAlignment="1" applyProtection="0">
      <alignment vertical="bottom"/>
    </xf>
    <xf numFmtId="49" fontId="0" fillId="2" borderId="65" applyNumberFormat="1" applyFont="1" applyFill="1" applyBorder="1" applyAlignment="1" applyProtection="0">
      <alignment vertical="bottom"/>
    </xf>
    <xf numFmtId="73" fontId="0" fillId="2" borderId="5" applyNumberFormat="1" applyFont="1" applyFill="1" applyBorder="1" applyAlignment="1" applyProtection="0">
      <alignment vertical="bottom"/>
    </xf>
    <xf numFmtId="73" fontId="0" fillId="2" borderId="72" applyNumberFormat="1" applyFont="1" applyFill="1" applyBorder="1" applyAlignment="1" applyProtection="0">
      <alignment vertical="bottom"/>
    </xf>
    <xf numFmtId="9" fontId="20" fillId="2" borderId="5" applyNumberFormat="1" applyFont="1" applyFill="1" applyBorder="1" applyAlignment="1" applyProtection="0">
      <alignment horizontal="center" vertical="bottom"/>
    </xf>
    <xf numFmtId="69" fontId="0" fillId="2" borderId="72" applyNumberFormat="1" applyFont="1" applyFill="1" applyBorder="1" applyAlignment="1" applyProtection="0">
      <alignment vertical="bottom"/>
    </xf>
    <xf numFmtId="73" fontId="10" fillId="2" borderId="5" applyNumberFormat="1" applyFont="1" applyFill="1" applyBorder="1" applyAlignment="1" applyProtection="0">
      <alignment horizontal="center" vertical="bottom"/>
    </xf>
    <xf numFmtId="69" fontId="0" fillId="14" borderId="5" applyNumberFormat="1" applyFont="1" applyFill="1" applyBorder="1" applyAlignment="1" applyProtection="0">
      <alignment vertical="bottom"/>
    </xf>
    <xf numFmtId="69" fontId="0" fillId="14" borderId="72" applyNumberFormat="1" applyFont="1" applyFill="1" applyBorder="1" applyAlignment="1" applyProtection="0">
      <alignment vertical="bottom"/>
    </xf>
    <xf numFmtId="0" fontId="0" fillId="2" borderId="79" applyNumberFormat="0" applyFont="1" applyFill="1" applyBorder="1" applyAlignment="1" applyProtection="0">
      <alignment vertical="bottom"/>
    </xf>
    <xf numFmtId="73" fontId="0" fillId="2" borderId="58" applyNumberFormat="1" applyFont="1" applyFill="1" applyBorder="1" applyAlignment="1" applyProtection="0">
      <alignment vertical="bottom"/>
    </xf>
    <xf numFmtId="69" fontId="0" fillId="2" borderId="80" applyNumberFormat="1" applyFont="1" applyFill="1" applyBorder="1" applyAlignment="1" applyProtection="0">
      <alignment vertical="bottom"/>
    </xf>
    <xf numFmtId="49" fontId="6" fillId="15" borderId="68" applyNumberFormat="1" applyFont="1" applyFill="1" applyBorder="1" applyAlignment="1" applyProtection="0">
      <alignment vertical="bottom"/>
    </xf>
    <xf numFmtId="73" fontId="6" fillId="15" borderId="69" applyNumberFormat="1" applyFont="1" applyFill="1" applyBorder="1" applyAlignment="1" applyProtection="0">
      <alignment vertical="bottom"/>
    </xf>
    <xf numFmtId="66" fontId="6" fillId="15" borderId="69" applyNumberFormat="1" applyFont="1" applyFill="1" applyBorder="1" applyAlignment="1" applyProtection="0">
      <alignment vertical="bottom"/>
    </xf>
    <xf numFmtId="66" fontId="6" fillId="15" borderId="70" applyNumberFormat="1" applyFont="1" applyFill="1" applyBorder="1" applyAlignment="1" applyProtection="0">
      <alignment vertical="bottom"/>
    </xf>
    <xf numFmtId="0" fontId="12" fillId="2" borderId="66" applyNumberFormat="0" applyFont="1" applyFill="1" applyBorder="1" applyAlignment="1" applyProtection="0">
      <alignment horizontal="left" vertical="center"/>
    </xf>
    <xf numFmtId="73" fontId="0" fillId="2" borderId="66" applyNumberFormat="1" applyFont="1" applyFill="1" applyBorder="1" applyAlignment="1" applyProtection="0">
      <alignment vertical="center"/>
    </xf>
    <xf numFmtId="68" fontId="0" fillId="2" borderId="5" applyNumberFormat="1" applyFont="1" applyFill="1" applyBorder="1" applyAlignment="1" applyProtection="0">
      <alignment vertical="bottom"/>
    </xf>
    <xf numFmtId="0" fontId="0" fillId="2" borderId="58" applyNumberFormat="0" applyFont="1" applyFill="1" applyBorder="1" applyAlignment="1" applyProtection="0">
      <alignment vertical="bottom"/>
    </xf>
    <xf numFmtId="74" fontId="10" fillId="2" borderId="58" applyNumberFormat="1" applyFont="1" applyFill="1" applyBorder="1" applyAlignment="1" applyProtection="0">
      <alignment horizontal="center" vertical="bottom"/>
    </xf>
    <xf numFmtId="59" fontId="0" fillId="2" borderId="58" applyNumberFormat="1" applyFont="1" applyFill="1" applyBorder="1" applyAlignment="1" applyProtection="0">
      <alignment vertical="bottom"/>
    </xf>
    <xf numFmtId="0" fontId="6" fillId="2" borderId="66" applyNumberFormat="0" applyFont="1" applyFill="1" applyBorder="1" applyAlignment="1" applyProtection="0">
      <alignment horizontal="center" vertical="bottom"/>
    </xf>
    <xf numFmtId="49" fontId="22" fillId="2" borderId="65" applyNumberFormat="1" applyFont="1" applyFill="1" applyBorder="1" applyAlignment="1" applyProtection="0">
      <alignment vertical="bottom"/>
    </xf>
    <xf numFmtId="0" fontId="6" fillId="2" borderId="5" applyNumberFormat="0" applyFont="1" applyFill="1" applyBorder="1" applyAlignment="1" applyProtection="0">
      <alignment horizontal="center" vertical="bottom"/>
    </xf>
    <xf numFmtId="0" fontId="10" fillId="2" borderId="5" applyNumberFormat="0" applyFont="1" applyFill="1" applyBorder="1" applyAlignment="1" applyProtection="0">
      <alignment horizontal="center" vertical="bottom"/>
    </xf>
    <xf numFmtId="69" fontId="10" fillId="2" borderId="72" applyNumberFormat="1" applyFont="1" applyFill="1" applyBorder="1" applyAlignment="1" applyProtection="0">
      <alignment horizontal="center" vertical="bottom"/>
    </xf>
    <xf numFmtId="9" fontId="10" fillId="2" borderId="5" applyNumberFormat="1" applyFont="1" applyFill="1" applyBorder="1" applyAlignment="1" applyProtection="0">
      <alignment horizontal="center" vertical="bottom"/>
    </xf>
    <xf numFmtId="49" fontId="10" fillId="2" borderId="5" applyNumberFormat="1" applyFont="1" applyFill="1" applyBorder="1" applyAlignment="1" applyProtection="0">
      <alignment horizontal="center" vertical="bottom"/>
    </xf>
    <xf numFmtId="59" fontId="10" fillId="2" borderId="72" applyNumberFormat="1" applyFont="1" applyFill="1" applyBorder="1" applyAlignment="1" applyProtection="0">
      <alignment horizontal="center" vertical="bottom"/>
    </xf>
    <xf numFmtId="49" fontId="10" fillId="2" borderId="58" applyNumberFormat="1" applyFont="1" applyFill="1" applyBorder="1" applyAlignment="1" applyProtection="0">
      <alignment horizontal="center" vertical="bottom"/>
    </xf>
    <xf numFmtId="59" fontId="10" fillId="2" borderId="58" applyNumberFormat="1" applyFont="1" applyFill="1" applyBorder="1" applyAlignment="1" applyProtection="0">
      <alignment horizontal="right" vertical="bottom"/>
    </xf>
    <xf numFmtId="59" fontId="10" fillId="2" borderId="80" applyNumberFormat="1" applyFont="1" applyFill="1" applyBorder="1" applyAlignment="1" applyProtection="0">
      <alignment horizontal="right" vertical="bottom"/>
    </xf>
    <xf numFmtId="49" fontId="0" fillId="2" borderId="68" applyNumberFormat="1" applyFont="1" applyFill="1" applyBorder="1" applyAlignment="1" applyProtection="0">
      <alignment vertical="bottom"/>
    </xf>
    <xf numFmtId="0" fontId="10" fillId="2" borderId="69" applyNumberFormat="0" applyFont="1" applyFill="1" applyBorder="1" applyAlignment="1" applyProtection="0">
      <alignment horizontal="center" vertical="bottom"/>
    </xf>
    <xf numFmtId="66" fontId="10" fillId="2" borderId="69" applyNumberFormat="1" applyFont="1" applyFill="1" applyBorder="1" applyAlignment="1" applyProtection="0">
      <alignment horizontal="center" vertical="bottom"/>
    </xf>
    <xf numFmtId="66" fontId="10" fillId="2" borderId="70" applyNumberFormat="1" applyFont="1" applyFill="1" applyBorder="1" applyAlignment="1" applyProtection="0">
      <alignment horizontal="center" vertical="bottom"/>
    </xf>
    <xf numFmtId="49" fontId="10" fillId="16" borderId="77" applyNumberFormat="1" applyFont="1" applyFill="1" applyBorder="1" applyAlignment="1" applyProtection="0">
      <alignment horizontal="left" vertical="bottom"/>
    </xf>
    <xf numFmtId="73" fontId="6" fillId="16" borderId="66" applyNumberFormat="1" applyFont="1" applyFill="1" applyBorder="1" applyAlignment="1" applyProtection="0">
      <alignment vertical="bottom"/>
    </xf>
    <xf numFmtId="66" fontId="6" fillId="16" borderId="66" applyNumberFormat="1" applyFont="1" applyFill="1" applyBorder="1" applyAlignment="1" applyProtection="0">
      <alignment vertical="bottom"/>
    </xf>
    <xf numFmtId="66" fontId="6" fillId="16" borderId="78" applyNumberFormat="1" applyFont="1" applyFill="1" applyBorder="1" applyAlignment="1" applyProtection="0">
      <alignment vertical="bottom"/>
    </xf>
    <xf numFmtId="49" fontId="0" fillId="16" borderId="79" applyNumberFormat="1" applyFont="1" applyFill="1" applyBorder="1" applyAlignment="1" applyProtection="0">
      <alignment vertical="bottom"/>
    </xf>
    <xf numFmtId="0" fontId="0" fillId="16" borderId="58" applyNumberFormat="0" applyFont="1" applyFill="1" applyBorder="1" applyAlignment="1" applyProtection="0">
      <alignment vertical="bottom"/>
    </xf>
    <xf numFmtId="9" fontId="0" fillId="16" borderId="58" applyNumberFormat="1" applyFont="1" applyFill="1" applyBorder="1" applyAlignment="1" applyProtection="0">
      <alignment vertical="bottom"/>
    </xf>
    <xf numFmtId="9" fontId="0" fillId="16" borderId="80" applyNumberFormat="1" applyFont="1" applyFill="1" applyBorder="1" applyAlignment="1" applyProtection="0">
      <alignment vertical="bottom"/>
    </xf>
    <xf numFmtId="0" fontId="0" fillId="2" borderId="68" applyNumberFormat="0" applyFont="1" applyFill="1" applyBorder="1" applyAlignment="1" applyProtection="0">
      <alignment vertical="bottom"/>
    </xf>
    <xf numFmtId="0" fontId="0" fillId="2" borderId="69" applyNumberFormat="0" applyFont="1" applyFill="1" applyBorder="1" applyAlignment="1" applyProtection="0">
      <alignment vertical="bottom"/>
    </xf>
    <xf numFmtId="49" fontId="22" fillId="2" borderId="77" applyNumberFormat="1" applyFont="1" applyFill="1" applyBorder="1" applyAlignment="1" applyProtection="0">
      <alignment vertical="bottom"/>
    </xf>
    <xf numFmtId="0" fontId="10" fillId="2" borderId="66" applyNumberFormat="0" applyFont="1" applyFill="1" applyBorder="1" applyAlignment="1" applyProtection="0">
      <alignment horizontal="center" vertical="bottom"/>
    </xf>
    <xf numFmtId="0" fontId="0" fillId="2" borderId="66" applyNumberFormat="0" applyFont="1" applyFill="1" applyBorder="1" applyAlignment="1" applyProtection="0">
      <alignment vertical="bottom"/>
    </xf>
    <xf numFmtId="0" fontId="0" fillId="2" borderId="78" applyNumberFormat="0" applyFont="1" applyFill="1" applyBorder="1" applyAlignment="1" applyProtection="0">
      <alignment vertical="top"/>
    </xf>
    <xf numFmtId="0" fontId="10" fillId="2" borderId="58" applyNumberFormat="0" applyFont="1" applyFill="1" applyBorder="1" applyAlignment="1" applyProtection="0">
      <alignment horizontal="center" vertical="bottom"/>
    </xf>
    <xf numFmtId="59" fontId="10" fillId="2" borderId="58" applyNumberFormat="1" applyFont="1" applyFill="1" applyBorder="1" applyAlignment="1" applyProtection="0">
      <alignment horizontal="center" vertical="bottom"/>
    </xf>
    <xf numFmtId="59" fontId="10" fillId="2" borderId="80" applyNumberFormat="1" applyFont="1" applyFill="1" applyBorder="1" applyAlignment="1" applyProtection="0">
      <alignment horizontal="center" vertical="bottom"/>
    </xf>
    <xf numFmtId="68" fontId="10" fillId="2" borderId="69" applyNumberFormat="1" applyFont="1" applyFill="1" applyBorder="1" applyAlignment="1" applyProtection="0">
      <alignment horizontal="center" vertical="bottom"/>
    </xf>
    <xf numFmtId="68" fontId="10" fillId="2" borderId="70" applyNumberFormat="1" applyFont="1" applyFill="1" applyBorder="1" applyAlignment="1" applyProtection="0">
      <alignment horizontal="center" vertical="bottom"/>
    </xf>
    <xf numFmtId="68" fontId="6" fillId="16" borderId="66" applyNumberFormat="1" applyFont="1" applyFill="1" applyBorder="1" applyAlignment="1" applyProtection="0">
      <alignment vertical="bottom"/>
    </xf>
    <xf numFmtId="68" fontId="6" fillId="16" borderId="78" applyNumberFormat="1" applyFont="1" applyFill="1" applyBorder="1" applyAlignment="1" applyProtection="0">
      <alignment vertical="bottom"/>
    </xf>
    <xf numFmtId="0" fontId="0" fillId="2" borderId="81" applyNumberFormat="0" applyFont="1" applyFill="1" applyBorder="1" applyAlignment="1" applyProtection="0">
      <alignment vertical="top"/>
    </xf>
    <xf numFmtId="49" fontId="23" fillId="16" borderId="79" applyNumberFormat="1" applyFont="1" applyFill="1" applyBorder="1" applyAlignment="1" applyProtection="0">
      <alignment horizontal="right" vertical="bottom"/>
    </xf>
    <xf numFmtId="0" fontId="23" fillId="16" borderId="58" applyNumberFormat="0" applyFont="1" applyFill="1" applyBorder="1" applyAlignment="1" applyProtection="0">
      <alignment horizontal="right" vertical="bottom"/>
    </xf>
    <xf numFmtId="9" fontId="23" fillId="16" borderId="58" applyNumberFormat="1" applyFont="1" applyFill="1" applyBorder="1" applyAlignment="1" applyProtection="0">
      <alignment horizontal="right" vertical="bottom"/>
    </xf>
    <xf numFmtId="9" fontId="23" fillId="16" borderId="80" applyNumberFormat="1" applyFont="1" applyFill="1" applyBorder="1" applyAlignment="1" applyProtection="0">
      <alignment horizontal="right" vertical="bottom"/>
    </xf>
    <xf numFmtId="0" fontId="0" fillId="2" borderId="82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0" fontId="0" fillId="2" borderId="83" applyNumberFormat="0" applyFont="1" applyFill="1" applyBorder="1" applyAlignment="1" applyProtection="0">
      <alignment vertical="top"/>
    </xf>
    <xf numFmtId="0" fontId="8" fillId="3" borderId="84" applyNumberFormat="0" applyFont="1" applyFill="1" applyBorder="1" applyAlignment="1" applyProtection="0">
      <alignment horizontal="center" vertical="bottom"/>
    </xf>
    <xf numFmtId="68" fontId="10" fillId="2" borderId="5" applyNumberFormat="1" applyFont="1" applyFill="1" applyBorder="1" applyAlignment="1" applyProtection="0">
      <alignment horizontal="center" vertical="bottom"/>
    </xf>
    <xf numFmtId="68" fontId="0" fillId="2" borderId="72" applyNumberFormat="1" applyFont="1" applyFill="1" applyBorder="1" applyAlignment="1" applyProtection="0">
      <alignment vertical="top"/>
    </xf>
    <xf numFmtId="60" fontId="20" fillId="2" borderId="5" applyNumberFormat="1" applyFont="1" applyFill="1" applyBorder="1" applyAlignment="1" applyProtection="0">
      <alignment horizontal="center" vertical="bottom"/>
    </xf>
    <xf numFmtId="9" fontId="10" fillId="2" borderId="58" applyNumberFormat="1" applyFont="1" applyFill="1" applyBorder="1" applyAlignment="1" applyProtection="0">
      <alignment horizontal="center" vertical="bottom"/>
    </xf>
    <xf numFmtId="69" fontId="10" fillId="2" borderId="58" applyNumberFormat="1" applyFont="1" applyFill="1" applyBorder="1" applyAlignment="1" applyProtection="0">
      <alignment horizontal="center" vertical="bottom"/>
    </xf>
    <xf numFmtId="69" fontId="10" fillId="2" borderId="80" applyNumberFormat="1" applyFont="1" applyFill="1" applyBorder="1" applyAlignment="1" applyProtection="0">
      <alignment horizontal="center" vertical="bottom"/>
    </xf>
    <xf numFmtId="49" fontId="6" fillId="16" borderId="68" applyNumberFormat="1" applyFont="1" applyFill="1" applyBorder="1" applyAlignment="1" applyProtection="0">
      <alignment vertical="bottom"/>
    </xf>
    <xf numFmtId="0" fontId="10" fillId="16" borderId="69" applyNumberFormat="0" applyFont="1" applyFill="1" applyBorder="1" applyAlignment="1" applyProtection="0">
      <alignment horizontal="center" vertical="bottom"/>
    </xf>
    <xf numFmtId="68" fontId="10" fillId="16" borderId="69" applyNumberFormat="1" applyFont="1" applyFill="1" applyBorder="1" applyAlignment="1" applyProtection="0">
      <alignment horizontal="center" vertical="bottom"/>
    </xf>
    <xf numFmtId="68" fontId="10" fillId="16" borderId="70" applyNumberFormat="1" applyFont="1" applyFill="1" applyBorder="1" applyAlignment="1" applyProtection="0">
      <alignment horizontal="center" vertical="bottom"/>
    </xf>
    <xf numFmtId="0" fontId="6" fillId="2" borderId="68" applyNumberFormat="0" applyFont="1" applyFill="1" applyBorder="1" applyAlignment="1" applyProtection="0">
      <alignment vertical="bottom"/>
    </xf>
    <xf numFmtId="10" fontId="10" fillId="16" borderId="69" applyNumberFormat="1" applyFont="1" applyFill="1" applyBorder="1" applyAlignment="1" applyProtection="0">
      <alignment horizontal="center" vertical="bottom"/>
    </xf>
    <xf numFmtId="0" fontId="6" fillId="2" borderId="77" applyNumberFormat="0" applyFont="1" applyFill="1" applyBorder="1" applyAlignment="1" applyProtection="0">
      <alignment vertical="bottom"/>
    </xf>
    <xf numFmtId="49" fontId="10" fillId="2" borderId="66" applyNumberFormat="1" applyFont="1" applyFill="1" applyBorder="1" applyAlignment="1" applyProtection="0">
      <alignment horizontal="center" vertical="bottom"/>
    </xf>
    <xf numFmtId="68" fontId="10" fillId="2" borderId="66" applyNumberFormat="1" applyFont="1" applyFill="1" applyBorder="1" applyAlignment="1" applyProtection="0">
      <alignment horizontal="center" vertical="bottom"/>
    </xf>
    <xf numFmtId="68" fontId="10" fillId="2" borderId="78" applyNumberFormat="1" applyFont="1" applyFill="1" applyBorder="1" applyAlignment="1" applyProtection="0">
      <alignment horizontal="center" vertical="bottom"/>
    </xf>
    <xf numFmtId="69" fontId="20" fillId="2" borderId="5" applyNumberFormat="1" applyFont="1" applyFill="1" applyBorder="1" applyAlignment="1" applyProtection="0">
      <alignment horizontal="center" vertical="bottom"/>
    </xf>
    <xf numFmtId="69" fontId="20" fillId="2" borderId="72" applyNumberFormat="1" applyFont="1" applyFill="1" applyBorder="1" applyAlignment="1" applyProtection="0">
      <alignment horizontal="center" vertical="bottom"/>
    </xf>
    <xf numFmtId="0" fontId="6" fillId="16" borderId="69" applyNumberFormat="0" applyFont="1" applyFill="1" applyBorder="1" applyAlignment="1" applyProtection="0">
      <alignment horizontal="center" vertical="bottom"/>
    </xf>
    <xf numFmtId="68" fontId="6" fillId="16" borderId="69" applyNumberFormat="1" applyFont="1" applyFill="1" applyBorder="1" applyAlignment="1" applyProtection="0">
      <alignment horizontal="center" vertical="bottom"/>
    </xf>
    <xf numFmtId="68" fontId="6" fillId="16" borderId="70" applyNumberFormat="1" applyFont="1" applyFill="1" applyBorder="1" applyAlignment="1" applyProtection="0">
      <alignment horizontal="center" vertical="bottom"/>
    </xf>
    <xf numFmtId="49" fontId="6" fillId="16" borderId="77" applyNumberFormat="1" applyFont="1" applyFill="1" applyBorder="1" applyAlignment="1" applyProtection="0">
      <alignment horizontal="left" vertical="bottom"/>
    </xf>
    <xf numFmtId="68" fontId="6" fillId="16" borderId="78" applyNumberFormat="1" applyFont="1" applyFill="1" applyBorder="1" applyAlignment="1" applyProtection="0">
      <alignment horizontal="center" vertical="bottom"/>
    </xf>
    <xf numFmtId="49" fontId="23" fillId="16" borderId="79" applyNumberFormat="1" applyFont="1" applyFill="1" applyBorder="1" applyAlignment="1" applyProtection="0">
      <alignment vertical="bottom"/>
    </xf>
    <xf numFmtId="0" fontId="23" fillId="16" borderId="58" applyNumberFormat="0" applyFont="1" applyFill="1" applyBorder="1" applyAlignment="1" applyProtection="0">
      <alignment horizontal="center" vertical="bottom"/>
    </xf>
    <xf numFmtId="49" fontId="6" fillId="16" borderId="77" applyNumberFormat="1" applyFont="1" applyFill="1" applyBorder="1" applyAlignment="1" applyProtection="0">
      <alignment vertical="top"/>
    </xf>
    <xf numFmtId="49" fontId="10" fillId="16" borderId="66" applyNumberFormat="1" applyFont="1" applyFill="1" applyBorder="1" applyAlignment="1" applyProtection="0">
      <alignment horizontal="center" vertical="top"/>
    </xf>
    <xf numFmtId="0" fontId="0" fillId="16" borderId="66" applyNumberFormat="0" applyFont="1" applyFill="1" applyBorder="1" applyAlignment="1" applyProtection="0">
      <alignment vertical="top"/>
    </xf>
    <xf numFmtId="0" fontId="0" fillId="16" borderId="78" applyNumberFormat="0" applyFont="1" applyFill="1" applyBorder="1" applyAlignment="1" applyProtection="0">
      <alignment vertical="top"/>
    </xf>
    <xf numFmtId="0" fontId="0" fillId="2" borderId="67" applyNumberFormat="1" applyFont="1" applyFill="1" applyBorder="1" applyAlignment="1" applyProtection="0">
      <alignment vertical="top"/>
    </xf>
    <xf numFmtId="49" fontId="0" fillId="2" borderId="65" applyNumberFormat="1" applyFont="1" applyFill="1" applyBorder="1" applyAlignment="1" applyProtection="0">
      <alignment vertical="top"/>
    </xf>
    <xf numFmtId="70" fontId="20" fillId="2" borderId="5" applyNumberFormat="1" applyFont="1" applyFill="1" applyBorder="1" applyAlignment="1" applyProtection="0">
      <alignment vertical="top"/>
    </xf>
    <xf numFmtId="49" fontId="12" fillId="2" borderId="65" applyNumberFormat="1" applyFont="1" applyFill="1" applyBorder="1" applyAlignment="1" applyProtection="0">
      <alignment horizontal="right" vertical="top"/>
    </xf>
    <xf numFmtId="9" fontId="10" fillId="2" borderId="5" applyNumberFormat="1" applyFont="1" applyFill="1" applyBorder="1" applyAlignment="1" applyProtection="0">
      <alignment horizontal="right" vertical="bottom"/>
    </xf>
    <xf numFmtId="9" fontId="20" fillId="2" borderId="5" applyNumberFormat="1" applyFont="1" applyFill="1" applyBorder="1" applyAlignment="1" applyProtection="0">
      <alignment horizontal="right" vertical="bottom"/>
    </xf>
    <xf numFmtId="9" fontId="20" fillId="2" borderId="72" applyNumberFormat="1" applyFont="1" applyFill="1" applyBorder="1" applyAlignment="1" applyProtection="0">
      <alignment horizontal="right" vertical="bottom"/>
    </xf>
    <xf numFmtId="69" fontId="20" fillId="2" borderId="5" applyNumberFormat="1" applyFont="1" applyFill="1" applyBorder="1" applyAlignment="1" applyProtection="0">
      <alignment vertical="top"/>
    </xf>
    <xf numFmtId="9" fontId="10" fillId="2" borderId="72" applyNumberFormat="1" applyFont="1" applyFill="1" applyBorder="1" applyAlignment="1" applyProtection="0">
      <alignment horizontal="right" vertical="bottom"/>
    </xf>
    <xf numFmtId="49" fontId="6" fillId="16" borderId="65" applyNumberFormat="1" applyFont="1" applyFill="1" applyBorder="1" applyAlignment="1" applyProtection="0">
      <alignment horizontal="right" vertical="top"/>
    </xf>
    <xf numFmtId="0" fontId="0" fillId="16" borderId="5" applyNumberFormat="0" applyFont="1" applyFill="1" applyBorder="1" applyAlignment="1" applyProtection="0">
      <alignment vertical="top"/>
    </xf>
    <xf numFmtId="69" fontId="0" fillId="16" borderId="5" applyNumberFormat="1" applyFont="1" applyFill="1" applyBorder="1" applyAlignment="1" applyProtection="0">
      <alignment vertical="top"/>
    </xf>
    <xf numFmtId="69" fontId="0" fillId="16" borderId="72" applyNumberFormat="1" applyFont="1" applyFill="1" applyBorder="1" applyAlignment="1" applyProtection="0">
      <alignment vertical="top"/>
    </xf>
    <xf numFmtId="0" fontId="0" fillId="2" borderId="79" applyNumberFormat="0" applyFont="1" applyFill="1" applyBorder="1" applyAlignment="1" applyProtection="0">
      <alignment vertical="top"/>
    </xf>
    <xf numFmtId="0" fontId="0" fillId="2" borderId="80" applyNumberFormat="0" applyFont="1" applyFill="1" applyBorder="1" applyAlignment="1" applyProtection="0">
      <alignment vertical="top"/>
    </xf>
    <xf numFmtId="71" fontId="0" fillId="2" borderId="14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72" fontId="10" fillId="2" borderId="5" applyNumberFormat="1" applyFont="1" applyFill="1" applyBorder="1" applyAlignment="1" applyProtection="0">
      <alignment horizontal="center" vertical="bottom"/>
    </xf>
    <xf numFmtId="72" fontId="10" fillId="2" borderId="72" applyNumberFormat="1" applyFont="1" applyFill="1" applyBorder="1" applyAlignment="1" applyProtection="0">
      <alignment horizontal="center" vertical="bottom"/>
    </xf>
    <xf numFmtId="2" fontId="10" fillId="2" borderId="5" applyNumberFormat="1" applyFont="1" applyFill="1" applyBorder="1" applyAlignment="1" applyProtection="0">
      <alignment horizontal="center" vertical="bottom"/>
    </xf>
    <xf numFmtId="60" fontId="10" fillId="2" borderId="5" applyNumberFormat="1" applyFont="1" applyFill="1" applyBorder="1" applyAlignment="1" applyProtection="0">
      <alignment horizontal="center" vertical="bottom"/>
    </xf>
    <xf numFmtId="69" fontId="10" fillId="2" borderId="8" applyNumberFormat="1" applyFont="1" applyFill="1" applyBorder="1" applyAlignment="1" applyProtection="0">
      <alignment horizontal="center" vertical="bottom"/>
    </xf>
    <xf numFmtId="69" fontId="10" fillId="2" borderId="85" applyNumberFormat="1" applyFont="1" applyFill="1" applyBorder="1" applyAlignment="1" applyProtection="0">
      <alignment horizontal="center" vertical="bottom"/>
    </xf>
    <xf numFmtId="69" fontId="10" fillId="2" borderId="11" applyNumberFormat="1" applyFont="1" applyFill="1" applyBorder="1" applyAlignment="1" applyProtection="0">
      <alignment horizontal="center" vertical="bottom"/>
    </xf>
    <xf numFmtId="69" fontId="10" fillId="2" borderId="86" applyNumberFormat="1" applyFont="1" applyFill="1" applyBorder="1" applyAlignment="1" applyProtection="0">
      <alignment horizontal="center" vertical="bottom"/>
    </xf>
    <xf numFmtId="60" fontId="12" fillId="2" borderId="5" applyNumberFormat="1" applyFont="1" applyFill="1" applyBorder="1" applyAlignment="1" applyProtection="0">
      <alignment horizontal="center" vertical="bottom"/>
    </xf>
    <xf numFmtId="69" fontId="12" fillId="2" borderId="5" applyNumberFormat="1" applyFont="1" applyFill="1" applyBorder="1" applyAlignment="1" applyProtection="0">
      <alignment horizontal="center" vertical="bottom"/>
    </xf>
    <xf numFmtId="69" fontId="12" fillId="2" borderId="72" applyNumberFormat="1" applyFont="1" applyFill="1" applyBorder="1" applyAlignment="1" applyProtection="0">
      <alignment horizontal="center" vertical="bottom"/>
    </xf>
    <xf numFmtId="0" fontId="0" fillId="2" borderId="8" applyNumberFormat="0" applyFont="1" applyFill="1" applyBorder="1" applyAlignment="1" applyProtection="0">
      <alignment vertical="top"/>
    </xf>
    <xf numFmtId="69" fontId="0" fillId="2" borderId="11" applyNumberFormat="1" applyFont="1" applyFill="1" applyBorder="1" applyAlignment="1" applyProtection="0">
      <alignment vertical="top"/>
    </xf>
    <xf numFmtId="69" fontId="0" fillId="2" borderId="86" applyNumberFormat="1" applyFont="1" applyFill="1" applyBorder="1" applyAlignment="1" applyProtection="0">
      <alignment vertical="top"/>
    </xf>
    <xf numFmtId="9" fontId="10" fillId="2" borderId="67" applyNumberFormat="1" applyFont="1" applyFill="1" applyBorder="1" applyAlignment="1" applyProtection="0">
      <alignment horizontal="right" vertical="top"/>
    </xf>
    <xf numFmtId="49" fontId="10" fillId="2" borderId="65" applyNumberFormat="1" applyFont="1" applyFill="1" applyBorder="1" applyAlignment="1" applyProtection="0">
      <alignment horizontal="right" vertical="bottom"/>
    </xf>
    <xf numFmtId="0" fontId="10" fillId="2" borderId="67" applyNumberFormat="0" applyFont="1" applyFill="1" applyBorder="1" applyAlignment="1" applyProtection="0">
      <alignment horizontal="right" vertical="top"/>
    </xf>
    <xf numFmtId="49" fontId="10" fillId="2" borderId="79" applyNumberFormat="1" applyFont="1" applyFill="1" applyBorder="1" applyAlignment="1" applyProtection="0">
      <alignment horizontal="right" vertical="top"/>
    </xf>
    <xf numFmtId="9" fontId="20" fillId="2" borderId="58" applyNumberFormat="1" applyFont="1" applyFill="1" applyBorder="1" applyAlignment="1" applyProtection="0">
      <alignment horizontal="center" vertical="bottom"/>
    </xf>
    <xf numFmtId="0" fontId="0" fillId="17" borderId="68" applyNumberFormat="0" applyFont="1" applyFill="1" applyBorder="1" applyAlignment="1" applyProtection="0">
      <alignment vertical="top"/>
    </xf>
    <xf numFmtId="49" fontId="10" fillId="17" borderId="69" applyNumberFormat="1" applyFont="1" applyFill="1" applyBorder="1" applyAlignment="1" applyProtection="0">
      <alignment horizontal="right" vertical="top"/>
    </xf>
    <xf numFmtId="69" fontId="0" fillId="17" borderId="69" applyNumberFormat="1" applyFont="1" applyFill="1" applyBorder="1" applyAlignment="1" applyProtection="0">
      <alignment vertical="top"/>
    </xf>
    <xf numFmtId="69" fontId="0" fillId="17" borderId="70" applyNumberFormat="1" applyFont="1" applyFill="1" applyBorder="1" applyAlignment="1" applyProtection="0">
      <alignment vertical="top"/>
    </xf>
    <xf numFmtId="0" fontId="10" fillId="2" borderId="69" applyNumberFormat="0" applyFont="1" applyFill="1" applyBorder="1" applyAlignment="1" applyProtection="0">
      <alignment horizontal="center" vertical="top"/>
    </xf>
    <xf numFmtId="69" fontId="0" fillId="2" borderId="69" applyNumberFormat="1" applyFont="1" applyFill="1" applyBorder="1" applyAlignment="1" applyProtection="0">
      <alignment vertical="top"/>
    </xf>
    <xf numFmtId="49" fontId="10" fillId="17" borderId="68" applyNumberFormat="1" applyFont="1" applyFill="1" applyBorder="1" applyAlignment="1" applyProtection="0">
      <alignment horizontal="right" vertical="top"/>
    </xf>
    <xf numFmtId="10" fontId="20" fillId="13" borderId="69" applyNumberFormat="1" applyFont="1" applyFill="1" applyBorder="1" applyAlignment="1" applyProtection="0">
      <alignment horizontal="center" vertical="top"/>
    </xf>
    <xf numFmtId="49" fontId="8" fillId="3" borderId="73" applyNumberFormat="1" applyFont="1" applyFill="1" applyBorder="1" applyAlignment="1" applyProtection="0">
      <alignment horizontal="left" vertical="bottom"/>
    </xf>
    <xf numFmtId="0" fontId="0" fillId="2" borderId="77" applyNumberFormat="0" applyFont="1" applyFill="1" applyBorder="1" applyAlignment="1" applyProtection="0">
      <alignment vertical="top"/>
    </xf>
    <xf numFmtId="69" fontId="0" fillId="2" borderId="65" applyNumberFormat="1" applyFont="1" applyFill="1" applyBorder="1" applyAlignment="1" applyProtection="0">
      <alignment vertical="top"/>
    </xf>
    <xf numFmtId="69" fontId="10" fillId="2" borderId="5" applyNumberFormat="1" applyFont="1" applyFill="1" applyBorder="1" applyAlignment="1" applyProtection="0">
      <alignment horizontal="right" vertical="top"/>
    </xf>
    <xf numFmtId="49" fontId="6" fillId="2" borderId="65" applyNumberFormat="1" applyFont="1" applyFill="1" applyBorder="1" applyAlignment="1" applyProtection="0">
      <alignment vertical="top"/>
    </xf>
    <xf numFmtId="49" fontId="0" fillId="2" borderId="79" applyNumberFormat="1" applyFont="1" applyFill="1" applyBorder="1" applyAlignment="1" applyProtection="0">
      <alignment vertical="top"/>
    </xf>
    <xf numFmtId="69" fontId="10" fillId="2" borderId="58" applyNumberFormat="1" applyFont="1" applyFill="1" applyBorder="1" applyAlignment="1" applyProtection="0">
      <alignment horizontal="right" vertical="top"/>
    </xf>
    <xf numFmtId="69" fontId="0" fillId="2" borderId="80" applyNumberFormat="1" applyFont="1" applyFill="1" applyBorder="1" applyAlignment="1" applyProtection="0">
      <alignment vertical="top"/>
    </xf>
    <xf numFmtId="49" fontId="6" fillId="2" borderId="69" applyNumberFormat="1" applyFont="1" applyFill="1" applyBorder="1" applyAlignment="1" applyProtection="0">
      <alignment horizontal="right" vertical="top"/>
    </xf>
    <xf numFmtId="69" fontId="0" fillId="2" borderId="70" applyNumberFormat="1" applyFont="1" applyFill="1" applyBorder="1" applyAlignment="1" applyProtection="0">
      <alignment vertical="top"/>
    </xf>
    <xf numFmtId="0" fontId="6" fillId="17" borderId="68" applyNumberFormat="0" applyFont="1" applyFill="1" applyBorder="1" applyAlignment="1" applyProtection="0">
      <alignment horizontal="right" vertical="top"/>
    </xf>
    <xf numFmtId="49" fontId="6" fillId="17" borderId="69" applyNumberFormat="1" applyFont="1" applyFill="1" applyBorder="1" applyAlignment="1" applyProtection="0">
      <alignment horizontal="right" vertical="top"/>
    </xf>
    <xf numFmtId="69" fontId="6" fillId="17" borderId="69" applyNumberFormat="1" applyFont="1" applyFill="1" applyBorder="1" applyAlignment="1" applyProtection="0">
      <alignment vertical="top"/>
    </xf>
    <xf numFmtId="69" fontId="6" fillId="17" borderId="70" applyNumberFormat="1" applyFont="1" applyFill="1" applyBorder="1" applyAlignment="1" applyProtection="0">
      <alignment vertical="top"/>
    </xf>
    <xf numFmtId="0" fontId="10" fillId="2" borderId="66" applyNumberFormat="0" applyFont="1" applyFill="1" applyBorder="1" applyAlignment="1" applyProtection="0">
      <alignment horizontal="right" vertical="top"/>
    </xf>
    <xf numFmtId="49" fontId="6" fillId="2" borderId="77" applyNumberFormat="1" applyFont="1" applyFill="1" applyBorder="1" applyAlignment="1" applyProtection="0">
      <alignment vertical="center" wrapText="1"/>
    </xf>
    <xf numFmtId="0" fontId="6" fillId="2" borderId="66" applyNumberFormat="0" applyFont="1" applyFill="1" applyBorder="1" applyAlignment="1" applyProtection="0">
      <alignment horizontal="right" vertical="center"/>
    </xf>
    <xf numFmtId="0" fontId="6" fillId="2" borderId="78" applyNumberFormat="0" applyFont="1" applyFill="1" applyBorder="1" applyAlignment="1" applyProtection="0">
      <alignment horizontal="right" vertical="center"/>
    </xf>
    <xf numFmtId="49" fontId="10" fillId="2" borderId="65" applyNumberFormat="1" applyFont="1" applyFill="1" applyBorder="1" applyAlignment="1" applyProtection="0">
      <alignment horizontal="left" vertical="center" wrapText="1"/>
    </xf>
    <xf numFmtId="69" fontId="20" fillId="2" borderId="5" applyNumberFormat="1" applyFont="1" applyFill="1" applyBorder="1" applyAlignment="1" applyProtection="0">
      <alignment vertical="center"/>
    </xf>
    <xf numFmtId="73" fontId="0" fillId="2" borderId="72" applyNumberFormat="1" applyFont="1" applyFill="1" applyBorder="1" applyAlignment="1" applyProtection="0">
      <alignment vertical="center"/>
    </xf>
    <xf numFmtId="69" fontId="0" fillId="2" borderId="8" applyNumberFormat="1" applyFont="1" applyFill="1" applyBorder="1" applyAlignment="1" applyProtection="0">
      <alignment vertical="center"/>
    </xf>
    <xf numFmtId="9" fontId="0" fillId="2" borderId="72" applyNumberFormat="1" applyFont="1" applyFill="1" applyBorder="1" applyAlignment="1" applyProtection="0">
      <alignment vertical="center"/>
    </xf>
    <xf numFmtId="49" fontId="6" fillId="2" borderId="79" applyNumberFormat="1" applyFont="1" applyFill="1" applyBorder="1" applyAlignment="1" applyProtection="0">
      <alignment horizontal="right" vertical="center" wrapText="1"/>
    </xf>
    <xf numFmtId="69" fontId="6" fillId="2" borderId="87" applyNumberFormat="1" applyFont="1" applyFill="1" applyBorder="1" applyAlignment="1" applyProtection="0">
      <alignment vertical="center"/>
    </xf>
    <xf numFmtId="73" fontId="6" fillId="2" borderId="80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top"/>
    </xf>
    <xf numFmtId="0" fontId="24" fillId="2" borderId="2" applyNumberFormat="0" applyFont="1" applyFill="1" applyBorder="1" applyAlignment="1" applyProtection="0">
      <alignment horizontal="left" vertical="top"/>
    </xf>
    <xf numFmtId="0" fontId="24" fillId="2" borderId="3" applyNumberFormat="0" applyFont="1" applyFill="1" applyBorder="1" applyAlignment="1" applyProtection="0">
      <alignment horizontal="left" vertical="top"/>
    </xf>
    <xf numFmtId="49" fontId="24" fillId="2" borderId="5" applyNumberFormat="1" applyFont="1" applyFill="1" applyBorder="1" applyAlignment="1" applyProtection="0">
      <alignment horizontal="left" vertical="top"/>
    </xf>
    <xf numFmtId="0" fontId="24" fillId="2" borderId="5" applyNumberFormat="0" applyFont="1" applyFill="1" applyBorder="1" applyAlignment="1" applyProtection="0">
      <alignment horizontal="left" vertical="top"/>
    </xf>
    <xf numFmtId="0" fontId="24" fillId="2" borderId="6" applyNumberFormat="0" applyFont="1" applyFill="1" applyBorder="1" applyAlignment="1" applyProtection="0">
      <alignment horizontal="left" vertical="top"/>
    </xf>
    <xf numFmtId="49" fontId="25" fillId="2" borderId="5" applyNumberFormat="1" applyFont="1" applyFill="1" applyBorder="1" applyAlignment="1" applyProtection="0">
      <alignment horizontal="left" vertical="top"/>
    </xf>
    <xf numFmtId="0" fontId="25" fillId="2" borderId="5" applyNumberFormat="0" applyFont="1" applyFill="1" applyBorder="1" applyAlignment="1" applyProtection="0">
      <alignment horizontal="left" vertical="top"/>
    </xf>
    <xf numFmtId="0" fontId="25" fillId="2" borderId="6" applyNumberFormat="0" applyFont="1" applyFill="1" applyBorder="1" applyAlignment="1" applyProtection="0">
      <alignment horizontal="left" vertical="top"/>
    </xf>
    <xf numFmtId="0" fontId="0" fillId="2" borderId="88" applyNumberFormat="0" applyFont="1" applyFill="1" applyBorder="1" applyAlignment="1" applyProtection="0">
      <alignment vertical="bottom"/>
    </xf>
    <xf numFmtId="0" fontId="10" fillId="2" borderId="88" applyNumberFormat="0" applyFont="1" applyFill="1" applyBorder="1" applyAlignment="1" applyProtection="0">
      <alignment vertical="bottom"/>
    </xf>
    <xf numFmtId="0" fontId="0" fillId="2" borderId="89" applyNumberFormat="0" applyFont="1" applyFill="1" applyBorder="1" applyAlignment="1" applyProtection="0">
      <alignment vertical="bottom"/>
    </xf>
    <xf numFmtId="0" fontId="10" fillId="2" borderId="90" applyNumberFormat="0" applyFont="1" applyFill="1" applyBorder="1" applyAlignment="1" applyProtection="0">
      <alignment vertical="bottom"/>
    </xf>
    <xf numFmtId="0" fontId="10" fillId="2" borderId="89" applyNumberFormat="0" applyFont="1" applyFill="1" applyBorder="1" applyAlignment="1" applyProtection="0">
      <alignment vertical="bottom"/>
    </xf>
    <xf numFmtId="0" fontId="0" fillId="2" borderId="91" applyNumberFormat="0" applyFont="1" applyFill="1" applyBorder="1" applyAlignment="1" applyProtection="0">
      <alignment vertical="bottom"/>
    </xf>
    <xf numFmtId="49" fontId="6" fillId="18" borderId="92" applyNumberFormat="1" applyFont="1" applyFill="1" applyBorder="1" applyAlignment="1" applyProtection="0">
      <alignment horizontal="right" vertical="bottom"/>
    </xf>
    <xf numFmtId="0" fontId="6" fillId="18" borderId="90" applyNumberFormat="0" applyFont="1" applyFill="1" applyBorder="1" applyAlignment="1" applyProtection="0">
      <alignment horizontal="right" vertical="bottom"/>
    </xf>
    <xf numFmtId="0" fontId="6" fillId="18" borderId="93" applyNumberFormat="0" applyFont="1" applyFill="1" applyBorder="1" applyAlignment="1" applyProtection="0">
      <alignment horizontal="right" vertical="bottom"/>
    </xf>
    <xf numFmtId="0" fontId="10" fillId="2" borderId="94" applyNumberFormat="0" applyFont="1" applyFill="1" applyBorder="1" applyAlignment="1" applyProtection="0">
      <alignment horizontal="left" vertical="bottom"/>
    </xf>
    <xf numFmtId="0" fontId="10" fillId="2" borderId="91" applyNumberFormat="0" applyFont="1" applyFill="1" applyBorder="1" applyAlignment="1" applyProtection="0">
      <alignment vertical="bottom"/>
    </xf>
    <xf numFmtId="0" fontId="0" fillId="2" borderId="94" applyNumberFormat="0" applyFont="1" applyFill="1" applyBorder="1" applyAlignment="1" applyProtection="0">
      <alignment vertical="bottom"/>
    </xf>
    <xf numFmtId="0" fontId="10" fillId="2" borderId="95" applyNumberFormat="0" applyFont="1" applyFill="1" applyBorder="1" applyAlignment="1" applyProtection="0">
      <alignment horizontal="left" vertical="bottom"/>
    </xf>
    <xf numFmtId="49" fontId="10" fillId="2" borderId="96" applyNumberFormat="1" applyFont="1" applyFill="1" applyBorder="1" applyAlignment="1" applyProtection="0">
      <alignment horizontal="right" vertical="bottom"/>
    </xf>
    <xf numFmtId="70" fontId="20" fillId="2" borderId="97" applyNumberFormat="1" applyFont="1" applyFill="1" applyBorder="1" applyAlignment="1" applyProtection="0">
      <alignment horizontal="right" vertical="bottom"/>
    </xf>
    <xf numFmtId="3" fontId="10" fillId="2" borderId="98" applyNumberFormat="1" applyFont="1" applyFill="1" applyBorder="1" applyAlignment="1" applyProtection="0">
      <alignment horizontal="left" vertical="bottom"/>
    </xf>
    <xf numFmtId="68" fontId="26" fillId="4" borderId="97" applyNumberFormat="1" applyFont="1" applyFill="1" applyBorder="1" applyAlignment="1" applyProtection="0">
      <alignment horizontal="right" vertical="bottom"/>
    </xf>
    <xf numFmtId="0" fontId="0" fillId="2" borderId="98" applyNumberFormat="0" applyFont="1" applyFill="1" applyBorder="1" applyAlignment="1" applyProtection="0">
      <alignment vertical="bottom"/>
    </xf>
    <xf numFmtId="49" fontId="10" fillId="2" borderId="99" applyNumberFormat="1" applyFont="1" applyFill="1" applyBorder="1" applyAlignment="1" applyProtection="0">
      <alignment horizontal="right" vertical="bottom"/>
    </xf>
    <xf numFmtId="75" fontId="20" fillId="2" borderId="97" applyNumberFormat="1" applyFont="1" applyFill="1" applyBorder="1" applyAlignment="1" applyProtection="0">
      <alignment horizontal="right" vertical="bottom"/>
    </xf>
    <xf numFmtId="0" fontId="10" fillId="2" borderId="98" applyNumberFormat="0" applyFont="1" applyFill="1" applyBorder="1" applyAlignment="1" applyProtection="0">
      <alignment horizontal="left" vertical="bottom"/>
    </xf>
    <xf numFmtId="76" fontId="26" fillId="4" borderId="97" applyNumberFormat="1" applyFont="1" applyFill="1" applyBorder="1" applyAlignment="1" applyProtection="0">
      <alignment horizontal="right" vertical="bottom"/>
    </xf>
    <xf numFmtId="76" fontId="20" fillId="2" borderId="97" applyNumberFormat="1" applyFont="1" applyFill="1" applyBorder="1" applyAlignment="1" applyProtection="0">
      <alignment horizontal="right" vertical="bottom"/>
    </xf>
    <xf numFmtId="70" fontId="26" fillId="4" borderId="97" applyNumberFormat="1" applyFont="1" applyFill="1" applyBorder="1" applyAlignment="1" applyProtection="0">
      <alignment horizontal="right" vertical="bottom"/>
    </xf>
    <xf numFmtId="14" fontId="20" fillId="2" borderId="97" applyNumberFormat="1" applyFont="1" applyFill="1" applyBorder="1" applyAlignment="1" applyProtection="0">
      <alignment horizontal="right" vertical="bottom"/>
    </xf>
    <xf numFmtId="0" fontId="10" fillId="2" borderId="100" applyNumberFormat="0" applyFont="1" applyFill="1" applyBorder="1" applyAlignment="1" applyProtection="0">
      <alignment horizontal="left" vertical="bottom"/>
    </xf>
    <xf numFmtId="49" fontId="10" fillId="2" borderId="101" applyNumberFormat="1" applyFont="1" applyFill="1" applyBorder="1" applyAlignment="1" applyProtection="0">
      <alignment horizontal="right" vertical="bottom"/>
    </xf>
    <xf numFmtId="0" fontId="10" fillId="2" borderId="102" applyNumberFormat="0" applyFont="1" applyFill="1" applyBorder="1" applyAlignment="1" applyProtection="0">
      <alignment horizontal="left" vertical="bottom"/>
    </xf>
    <xf numFmtId="0" fontId="10" fillId="2" borderId="103" applyNumberFormat="0" applyFont="1" applyFill="1" applyBorder="1" applyAlignment="1" applyProtection="0">
      <alignment vertical="bottom"/>
    </xf>
    <xf numFmtId="49" fontId="6" fillId="2" borderId="91" applyNumberFormat="1" applyFont="1" applyFill="1" applyBorder="1" applyAlignment="1" applyProtection="0">
      <alignment horizontal="right" vertical="bottom"/>
    </xf>
    <xf numFmtId="49" fontId="10" fillId="2" borderId="92" applyNumberFormat="1" applyFont="1" applyFill="1" applyBorder="1" applyAlignment="1" applyProtection="0">
      <alignment horizontal="left" vertical="bottom"/>
    </xf>
    <xf numFmtId="0" fontId="10" fillId="2" borderId="104" applyNumberFormat="0" applyFont="1" applyFill="1" applyBorder="1" applyAlignment="1" applyProtection="0">
      <alignment horizontal="left" vertical="bottom"/>
    </xf>
    <xf numFmtId="0" fontId="10" fillId="2" borderId="94" applyNumberFormat="0" applyFont="1" applyFill="1" applyBorder="1" applyAlignment="1" applyProtection="0">
      <alignment vertical="bottom"/>
    </xf>
    <xf numFmtId="0" fontId="6" fillId="2" borderId="5" applyNumberFormat="0" applyFont="1" applyFill="1" applyBorder="1" applyAlignment="1" applyProtection="0">
      <alignment horizontal="right" vertical="bottom"/>
    </xf>
    <xf numFmtId="0" fontId="10" fillId="2" borderId="89" applyNumberFormat="0" applyFont="1" applyFill="1" applyBorder="1" applyAlignment="1" applyProtection="0">
      <alignment horizontal="left" vertical="bottom"/>
    </xf>
    <xf numFmtId="0" fontId="27" fillId="18" borderId="89" applyNumberFormat="0" applyFont="1" applyFill="1" applyBorder="1" applyAlignment="1" applyProtection="0">
      <alignment horizontal="left" vertical="bottom"/>
    </xf>
    <xf numFmtId="0" fontId="27" fillId="18" borderId="89" applyNumberFormat="0" applyFont="1" applyFill="1" applyBorder="1" applyAlignment="1" applyProtection="0">
      <alignment vertical="bottom"/>
    </xf>
    <xf numFmtId="49" fontId="6" fillId="18" borderId="59" applyNumberFormat="1" applyFont="1" applyFill="1" applyBorder="1" applyAlignment="1" applyProtection="0">
      <alignment horizontal="center" vertical="center" wrapText="1"/>
    </xf>
    <xf numFmtId="49" fontId="6" fillId="18" borderId="105" applyNumberFormat="1" applyFont="1" applyFill="1" applyBorder="1" applyAlignment="1" applyProtection="0">
      <alignment horizontal="center" vertical="center" wrapText="1"/>
    </xf>
    <xf numFmtId="49" fontId="6" fillId="18" borderId="50" applyNumberFormat="1" applyFont="1" applyFill="1" applyBorder="1" applyAlignment="1" applyProtection="0">
      <alignment horizontal="center" vertical="center" wrapText="1"/>
    </xf>
    <xf numFmtId="0" fontId="27" fillId="18" borderId="5" applyNumberFormat="0" applyFont="1" applyFill="1" applyBorder="1" applyAlignment="1" applyProtection="0">
      <alignment horizontal="left" vertical="bottom"/>
    </xf>
    <xf numFmtId="0" fontId="27" fillId="18" borderId="5" applyNumberFormat="0" applyFont="1" applyFill="1" applyBorder="1" applyAlignment="1" applyProtection="0">
      <alignment horizontal="left" vertical="bottom" wrapText="1"/>
    </xf>
    <xf numFmtId="0" fontId="28" fillId="2" borderId="5" applyNumberFormat="1" applyFont="1" applyFill="1" applyBorder="1" applyAlignment="1" applyProtection="0">
      <alignment horizontal="left" vertical="bottom"/>
    </xf>
    <xf numFmtId="14" fontId="28" fillId="2" borderId="5" applyNumberFormat="1" applyFont="1" applyFill="1" applyBorder="1" applyAlignment="1" applyProtection="0">
      <alignment horizontal="right" vertical="bottom"/>
    </xf>
    <xf numFmtId="70" fontId="28" fillId="2" borderId="5" applyNumberFormat="1" applyFont="1" applyFill="1" applyBorder="1" applyAlignment="1" applyProtection="0">
      <alignment horizontal="right" vertical="bottom"/>
    </xf>
    <xf numFmtId="0" fontId="0" fillId="2" borderId="5" applyNumberFormat="1" applyFont="1" applyFill="1" applyBorder="1" applyAlignment="1" applyProtection="0">
      <alignment vertical="bottom"/>
    </xf>
    <xf numFmtId="0" fontId="0" fillId="2" borderId="5" applyNumberFormat="1" applyFont="1" applyFill="1" applyBorder="1" applyAlignment="1" applyProtection="0">
      <alignment vertical="bottom" wrapText="1"/>
    </xf>
    <xf numFmtId="0" fontId="28" fillId="2" borderId="5" applyNumberFormat="0" applyFont="1" applyFill="1" applyBorder="1" applyAlignment="1" applyProtection="0">
      <alignment horizontal="left" vertical="bottom"/>
    </xf>
    <xf numFmtId="0" fontId="28" fillId="2" borderId="14" applyNumberFormat="0" applyFont="1" applyFill="1" applyBorder="1" applyAlignment="1" applyProtection="0">
      <alignment horizontal="left" vertical="bottom"/>
    </xf>
    <xf numFmtId="14" fontId="28" fillId="2" borderId="14" applyNumberFormat="1" applyFont="1" applyFill="1" applyBorder="1" applyAlignment="1" applyProtection="0">
      <alignment horizontal="right" vertical="bottom"/>
    </xf>
    <xf numFmtId="70" fontId="28" fillId="2" borderId="14" applyNumberFormat="1" applyFont="1" applyFill="1" applyBorder="1" applyAlignment="1" applyProtection="0">
      <alignment horizontal="right" vertical="bottom"/>
    </xf>
    <xf numFmtId="0" fontId="0" fillId="2" borderId="15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top"/>
    </xf>
    <xf numFmtId="0" fontId="6" fillId="2" borderId="2" applyNumberFormat="0" applyFont="1" applyFill="1" applyBorder="1" applyAlignment="1" applyProtection="0">
      <alignment vertical="top"/>
    </xf>
    <xf numFmtId="49" fontId="6" fillId="2" borderId="5" applyNumberFormat="1" applyFont="1" applyFill="1" applyBorder="1" applyAlignment="1" applyProtection="0">
      <alignment vertical="top"/>
    </xf>
    <xf numFmtId="0" fontId="10" fillId="2" borderId="68" applyNumberFormat="0" applyFont="1" applyFill="1" applyBorder="1" applyAlignment="1" applyProtection="0">
      <alignment vertical="top"/>
    </xf>
    <xf numFmtId="0" fontId="10" fillId="2" borderId="74" applyNumberFormat="0" applyFont="1" applyFill="1" applyBorder="1" applyAlignment="1" applyProtection="0">
      <alignment vertical="top"/>
    </xf>
    <xf numFmtId="0" fontId="10" fillId="2" borderId="75" applyNumberFormat="0" applyFont="1" applyFill="1" applyBorder="1" applyAlignment="1" applyProtection="0">
      <alignment vertical="top"/>
    </xf>
    <xf numFmtId="0" fontId="10" fillId="2" borderId="69" applyNumberFormat="0" applyFont="1" applyFill="1" applyBorder="1" applyAlignment="1" applyProtection="0">
      <alignment vertical="top"/>
    </xf>
    <xf numFmtId="0" fontId="10" fillId="2" borderId="70" applyNumberFormat="0" applyFont="1" applyFill="1" applyBorder="1" applyAlignment="1" applyProtection="0">
      <alignment vertical="top"/>
    </xf>
    <xf numFmtId="0" fontId="10" fillId="2" borderId="77" applyNumberFormat="0" applyFont="1" applyFill="1" applyBorder="1" applyAlignment="1" applyProtection="0">
      <alignment vertical="bottom"/>
    </xf>
    <xf numFmtId="0" fontId="10" fillId="2" borderId="65" applyNumberFormat="0" applyFont="1" applyFill="1" applyBorder="1" applyAlignment="1" applyProtection="0">
      <alignment vertical="bottom"/>
    </xf>
    <xf numFmtId="0" fontId="10" fillId="2" borderId="72" applyNumberFormat="0" applyFont="1" applyFill="1" applyBorder="1" applyAlignment="1" applyProtection="0">
      <alignment vertical="top"/>
    </xf>
    <xf numFmtId="69" fontId="10" fillId="2" borderId="72" applyNumberFormat="1" applyFont="1" applyFill="1" applyBorder="1" applyAlignment="1" applyProtection="0">
      <alignment vertical="bottom"/>
    </xf>
    <xf numFmtId="49" fontId="12" fillId="2" borderId="79" applyNumberFormat="1" applyFont="1" applyFill="1" applyBorder="1" applyAlignment="1" applyProtection="0">
      <alignment horizontal="left" vertical="bottom"/>
    </xf>
    <xf numFmtId="71" fontId="12" fillId="2" borderId="80" applyNumberFormat="1" applyFont="1" applyFill="1" applyBorder="1" applyAlignment="1" applyProtection="0">
      <alignment vertical="bottom"/>
    </xf>
    <xf numFmtId="49" fontId="6" fillId="2" borderId="68" applyNumberFormat="1" applyFont="1" applyFill="1" applyBorder="1" applyAlignment="1" applyProtection="0">
      <alignment horizontal="left" vertical="bottom"/>
    </xf>
    <xf numFmtId="73" fontId="6" fillId="2" borderId="69" applyNumberFormat="1" applyFont="1" applyFill="1" applyBorder="1" applyAlignment="1" applyProtection="0">
      <alignment vertical="bottom"/>
    </xf>
    <xf numFmtId="66" fontId="6" fillId="2" borderId="69" applyNumberFormat="1" applyFont="1" applyFill="1" applyBorder="1" applyAlignment="1" applyProtection="0">
      <alignment vertical="bottom"/>
    </xf>
    <xf numFmtId="66" fontId="6" fillId="2" borderId="70" applyNumberFormat="1" applyFont="1" applyFill="1" applyBorder="1" applyAlignment="1" applyProtection="0">
      <alignment vertical="bottom"/>
    </xf>
    <xf numFmtId="73" fontId="10" fillId="2" borderId="66" applyNumberFormat="1" applyFont="1" applyFill="1" applyBorder="1" applyAlignment="1" applyProtection="0">
      <alignment vertical="bottom"/>
    </xf>
    <xf numFmtId="71" fontId="10" fillId="2" borderId="66" applyNumberFormat="1" applyFont="1" applyFill="1" applyBorder="1" applyAlignment="1" applyProtection="0">
      <alignment vertical="bottom"/>
    </xf>
    <xf numFmtId="71" fontId="10" fillId="2" borderId="78" applyNumberFormat="1" applyFont="1" applyFill="1" applyBorder="1" applyAlignment="1" applyProtection="0">
      <alignment vertical="bottom"/>
    </xf>
    <xf numFmtId="0" fontId="10" fillId="2" borderId="65" applyNumberFormat="0" applyFont="1" applyFill="1" applyBorder="1" applyAlignment="1" applyProtection="0">
      <alignment horizontal="left" vertical="bottom"/>
    </xf>
    <xf numFmtId="73" fontId="10" fillId="2" borderId="5" applyNumberFormat="1" applyFont="1" applyFill="1" applyBorder="1" applyAlignment="1" applyProtection="0">
      <alignment vertical="bottom"/>
    </xf>
    <xf numFmtId="71" fontId="10" fillId="2" borderId="5" applyNumberFormat="1" applyFont="1" applyFill="1" applyBorder="1" applyAlignment="1" applyProtection="0">
      <alignment vertical="bottom"/>
    </xf>
    <xf numFmtId="71" fontId="10" fillId="2" borderId="72" applyNumberFormat="1" applyFont="1" applyFill="1" applyBorder="1" applyAlignment="1" applyProtection="0">
      <alignment vertical="bottom"/>
    </xf>
    <xf numFmtId="49" fontId="10" fillId="11" borderId="65" applyNumberFormat="1" applyFont="1" applyFill="1" applyBorder="1" applyAlignment="1" applyProtection="0">
      <alignment horizontal="left" vertical="bottom"/>
    </xf>
    <xf numFmtId="73" fontId="10" fillId="11" borderId="5" applyNumberFormat="1" applyFont="1" applyFill="1" applyBorder="1" applyAlignment="1" applyProtection="0">
      <alignment vertical="bottom"/>
    </xf>
    <xf numFmtId="69" fontId="10" fillId="11" borderId="5" applyNumberFormat="1" applyFont="1" applyFill="1" applyBorder="1" applyAlignment="1" applyProtection="0">
      <alignment vertical="bottom"/>
    </xf>
    <xf numFmtId="69" fontId="10" fillId="11" borderId="72" applyNumberFormat="1" applyFont="1" applyFill="1" applyBorder="1" applyAlignment="1" applyProtection="0">
      <alignment vertical="bottom"/>
    </xf>
    <xf numFmtId="10" fontId="0" fillId="2" borderId="65" applyNumberFormat="1" applyFont="1" applyFill="1" applyBorder="1" applyAlignment="1" applyProtection="0">
      <alignment vertical="top"/>
    </xf>
    <xf numFmtId="10" fontId="0" fillId="2" borderId="5" applyNumberFormat="1" applyFont="1" applyFill="1" applyBorder="1" applyAlignment="1" applyProtection="0">
      <alignment vertical="top"/>
    </xf>
    <xf numFmtId="10" fontId="0" fillId="2" borderId="6" applyNumberFormat="1" applyFont="1" applyFill="1" applyBorder="1" applyAlignment="1" applyProtection="0">
      <alignment vertical="top"/>
    </xf>
    <xf numFmtId="77" fontId="20" fillId="2" borderId="5" applyNumberFormat="1" applyFont="1" applyFill="1" applyBorder="1" applyAlignment="1" applyProtection="0">
      <alignment vertical="bottom"/>
    </xf>
    <xf numFmtId="66" fontId="20" fillId="2" borderId="5" applyNumberFormat="1" applyFont="1" applyFill="1" applyBorder="1" applyAlignment="1" applyProtection="0">
      <alignment vertical="bottom"/>
    </xf>
    <xf numFmtId="66" fontId="10" fillId="2" borderId="5" applyNumberFormat="1" applyFont="1" applyFill="1" applyBorder="1" applyAlignment="1" applyProtection="0">
      <alignment vertical="bottom"/>
    </xf>
    <xf numFmtId="66" fontId="10" fillId="2" borderId="72" applyNumberFormat="1" applyFont="1" applyFill="1" applyBorder="1" applyAlignment="1" applyProtection="0">
      <alignment vertical="bottom"/>
    </xf>
    <xf numFmtId="59" fontId="20" fillId="2" borderId="5" applyNumberFormat="1" applyFont="1" applyFill="1" applyBorder="1" applyAlignment="1" applyProtection="0">
      <alignment vertical="bottom"/>
    </xf>
    <xf numFmtId="59" fontId="10" fillId="2" borderId="5" applyNumberFormat="1" applyFont="1" applyFill="1" applyBorder="1" applyAlignment="1" applyProtection="0">
      <alignment vertical="bottom"/>
    </xf>
    <xf numFmtId="59" fontId="10" fillId="2" borderId="72" applyNumberFormat="1" applyFont="1" applyFill="1" applyBorder="1" applyAlignment="1" applyProtection="0">
      <alignment vertical="bottom"/>
    </xf>
    <xf numFmtId="49" fontId="20" fillId="2" borderId="5" applyNumberFormat="1" applyFont="1" applyFill="1" applyBorder="1" applyAlignment="1" applyProtection="0">
      <alignment horizontal="center" vertical="bottom"/>
    </xf>
    <xf numFmtId="49" fontId="10" fillId="2" borderId="106" applyNumberFormat="1" applyFont="1" applyFill="1" applyBorder="1" applyAlignment="1" applyProtection="0">
      <alignment horizontal="left" vertical="bottom"/>
    </xf>
    <xf numFmtId="73" fontId="10" fillId="2" borderId="8" applyNumberFormat="1" applyFont="1" applyFill="1" applyBorder="1" applyAlignment="1" applyProtection="0">
      <alignment vertical="bottom"/>
    </xf>
    <xf numFmtId="59" fontId="10" fillId="2" borderId="8" applyNumberFormat="1" applyFont="1" applyFill="1" applyBorder="1" applyAlignment="1" applyProtection="0">
      <alignment vertical="bottom"/>
    </xf>
    <xf numFmtId="69" fontId="10" fillId="2" borderId="8" applyNumberFormat="1" applyFont="1" applyFill="1" applyBorder="1" applyAlignment="1" applyProtection="0">
      <alignment vertical="bottom"/>
    </xf>
    <xf numFmtId="69" fontId="10" fillId="2" borderId="85" applyNumberFormat="1" applyFont="1" applyFill="1" applyBorder="1" applyAlignment="1" applyProtection="0">
      <alignment vertical="bottom"/>
    </xf>
    <xf numFmtId="0" fontId="10" fillId="2" borderId="107" applyNumberFormat="0" applyFont="1" applyFill="1" applyBorder="1" applyAlignment="1" applyProtection="0">
      <alignment horizontal="left" vertical="bottom"/>
    </xf>
    <xf numFmtId="73" fontId="10" fillId="2" borderId="11" applyNumberFormat="1" applyFont="1" applyFill="1" applyBorder="1" applyAlignment="1" applyProtection="0">
      <alignment vertical="bottom"/>
    </xf>
    <xf numFmtId="69" fontId="10" fillId="2" borderId="11" applyNumberFormat="1" applyFont="1" applyFill="1" applyBorder="1" applyAlignment="1" applyProtection="0">
      <alignment vertical="bottom"/>
    </xf>
    <xf numFmtId="69" fontId="10" fillId="2" borderId="86" applyNumberFormat="1" applyFont="1" applyFill="1" applyBorder="1" applyAlignment="1" applyProtection="0">
      <alignment vertical="bottom"/>
    </xf>
    <xf numFmtId="9" fontId="20" fillId="2" borderId="5" applyNumberFormat="1" applyFont="1" applyFill="1" applyBorder="1" applyAlignment="1" applyProtection="0">
      <alignment vertical="bottom"/>
    </xf>
    <xf numFmtId="9" fontId="10" fillId="2" borderId="5" applyNumberFormat="1" applyFont="1" applyFill="1" applyBorder="1" applyAlignment="1" applyProtection="0">
      <alignment vertical="bottom"/>
    </xf>
    <xf numFmtId="60" fontId="20" fillId="2" borderId="8" applyNumberFormat="1" applyFont="1" applyFill="1" applyBorder="1" applyAlignment="1" applyProtection="0">
      <alignment horizontal="center" vertical="bottom"/>
    </xf>
    <xf numFmtId="59" fontId="10" fillId="2" borderId="85" applyNumberFormat="1" applyFont="1" applyFill="1" applyBorder="1" applyAlignment="1" applyProtection="0">
      <alignment vertical="bottom"/>
    </xf>
    <xf numFmtId="49" fontId="6" fillId="2" borderId="108" applyNumberFormat="1" applyFont="1" applyFill="1" applyBorder="1" applyAlignment="1" applyProtection="0">
      <alignment vertical="bottom"/>
    </xf>
    <xf numFmtId="60" fontId="20" fillId="2" borderId="32" applyNumberFormat="1" applyFont="1" applyFill="1" applyBorder="1" applyAlignment="1" applyProtection="0">
      <alignment horizontal="center" vertical="bottom"/>
    </xf>
    <xf numFmtId="0" fontId="0" fillId="2" borderId="32" applyNumberFormat="0" applyFont="1" applyFill="1" applyBorder="1" applyAlignment="1" applyProtection="0">
      <alignment vertical="top"/>
    </xf>
    <xf numFmtId="66" fontId="10" fillId="2" borderId="32" applyNumberFormat="1" applyFont="1" applyFill="1" applyBorder="1" applyAlignment="1" applyProtection="0">
      <alignment vertical="bottom"/>
    </xf>
    <xf numFmtId="66" fontId="10" fillId="2" borderId="109" applyNumberFormat="1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top"/>
    </xf>
    <xf numFmtId="49" fontId="29" fillId="2" borderId="5" applyNumberFormat="1" applyFont="1" applyFill="1" applyBorder="1" applyAlignment="1" applyProtection="0">
      <alignment horizontal="left" vertical="top"/>
    </xf>
    <xf numFmtId="9" fontId="29" fillId="2" borderId="5" applyNumberFormat="1" applyFont="1" applyFill="1" applyBorder="1" applyAlignment="1" applyProtection="0">
      <alignment horizontal="center" vertical="top"/>
    </xf>
    <xf numFmtId="49" fontId="0" fillId="2" borderId="14" applyNumberFormat="1" applyFont="1" applyFill="1" applyBorder="1" applyAlignment="1" applyProtection="0">
      <alignment vertical="top"/>
    </xf>
    <xf numFmtId="62" fontId="0" fillId="2" borderId="14" applyNumberFormat="1" applyFont="1" applyFill="1" applyBorder="1" applyAlignment="1" applyProtection="0">
      <alignment vertical="top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3366"/>
      <rgbColor rgb="fff2f2f2"/>
      <rgbColor rgb="ff0000ff"/>
      <rgbColor rgb="ff7f7f7f"/>
      <rgbColor rgb="ff595959"/>
      <rgbColor rgb="ff3f3f3f"/>
      <rgbColor rgb="ffff0000"/>
      <rgbColor rgb="ffffff00"/>
      <rgbColor rgb="ff4472c4"/>
      <rgbColor rgb="ffc0c0c0"/>
      <rgbColor rgb="ffd8d8d8"/>
      <rgbColor rgb="ffa5a5a5"/>
      <rgbColor rgb="ff006411"/>
      <rgbColor rgb="ffa5a5a5"/>
      <rgbColor rgb="fffbe4d5"/>
      <rgbColor rgb="ffbfbfbf"/>
      <rgbColor rgb="ffbdd6ee"/>
      <rgbColor rgb="ffadacac"/>
      <rgbColor rgb="ff800000"/>
      <rgbColor rgb="ffececec"/>
      <rgbColor rgb="ff7f7f7f"/>
      <rgbColor rgb="fffa7d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Q24"/>
  <sheetViews>
    <sheetView workbookViewId="0" showGridLines="0" defaultGridColor="1"/>
  </sheetViews>
  <sheetFormatPr defaultColWidth="8.75" defaultRowHeight="10.15" customHeight="1" outlineLevelRow="0" outlineLevelCol="0"/>
  <cols>
    <col min="1" max="14" width="8.75" style="1" customWidth="1"/>
    <col min="15" max="16" width="14.75" style="1" customWidth="1"/>
    <col min="17" max="17" width="15.75" style="1" customWidth="1"/>
    <col min="18" max="16384" width="8.75" style="1" customWidth="1"/>
  </cols>
  <sheetData>
    <row r="1" ht="13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13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ht="13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</row>
    <row r="4" ht="13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</row>
    <row r="5" ht="13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  <row r="6" ht="13" customHeight="1">
      <c r="A6" s="5"/>
      <c r="B6" s="6"/>
      <c r="C6" s="6"/>
      <c r="D6" s="6"/>
      <c r="E6" s="6"/>
      <c r="F6" s="6"/>
      <c r="G6" s="8"/>
      <c r="H6" s="6"/>
      <c r="I6" s="6"/>
      <c r="J6" s="6"/>
      <c r="K6" s="6"/>
      <c r="L6" s="6"/>
      <c r="M6" s="6"/>
      <c r="N6" s="6"/>
      <c r="O6" s="6"/>
      <c r="P6" s="6"/>
      <c r="Q6" s="7"/>
    </row>
    <row r="7" ht="13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</row>
    <row r="8" ht="13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</row>
    <row r="9" ht="13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</row>
    <row r="10" ht="13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ht="13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</row>
    <row r="12" ht="13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7"/>
    </row>
    <row r="13" ht="13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</row>
    <row r="14" ht="13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</row>
    <row r="15" ht="13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7"/>
    </row>
    <row r="16" ht="13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7"/>
    </row>
    <row r="17" ht="13" customHeight="1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7"/>
    </row>
    <row r="18" ht="13" customHeight="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7"/>
    </row>
    <row r="19" ht="13" customHeight="1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/>
    </row>
    <row r="20" ht="13" customHeight="1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7"/>
    </row>
    <row r="21" ht="50.25" customHeight="1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1"/>
    </row>
    <row r="22" ht="8" customHeight="1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4"/>
    </row>
    <row r="23" ht="8" customHeight="1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7"/>
    </row>
    <row r="24" ht="18.75" customHeight="1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t="s" s="17">
        <v>0</v>
      </c>
    </row>
  </sheetData>
  <pageMargins left="0.5" right="0.5" top="0.5" bottom="0.5" header="0.3" footer="0.3"/>
  <pageSetup firstPageNumber="1" fitToHeight="1" fitToWidth="1" scale="99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T114"/>
  <sheetViews>
    <sheetView workbookViewId="0" showGridLines="0" defaultGridColor="1"/>
  </sheetViews>
  <sheetFormatPr defaultColWidth="9" defaultRowHeight="12.75" customHeight="1" outlineLevelRow="0" outlineLevelCol="0"/>
  <cols>
    <col min="1" max="1" width="2.75" style="18" customWidth="1"/>
    <col min="2" max="2" width="32.75" style="18" customWidth="1"/>
    <col min="3" max="3" width="5.75" style="18" customWidth="1"/>
    <col min="4" max="4" width="15.75" style="18" customWidth="1"/>
    <col min="5" max="5" width="10.75" style="18" customWidth="1"/>
    <col min="6" max="6" width="11.75" style="18" customWidth="1"/>
    <col min="7" max="15" width="10.75" style="18" customWidth="1"/>
    <col min="16" max="19" width="11.75" style="18" customWidth="1"/>
    <col min="20" max="20" width="10.75" style="18" customWidth="1"/>
    <col min="21" max="16384" width="9" style="18" customWidth="1"/>
  </cols>
  <sheetData>
    <row r="1" ht="13.15" customHeight="1">
      <c r="A1" s="19"/>
      <c r="B1" t="s" s="20">
        <v>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2"/>
    </row>
    <row r="2" ht="13.75" customHeight="1">
      <c r="A2" s="23"/>
      <c r="B2" t="s" s="24">
        <v>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25"/>
    </row>
    <row r="3" ht="13.15" customHeight="1">
      <c r="A3" s="23"/>
      <c r="B3" s="2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25"/>
    </row>
    <row r="4" ht="13.15" customHeight="1">
      <c r="A4" s="23"/>
      <c r="B4" t="s" s="27">
        <v>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9"/>
    </row>
    <row r="5" ht="13.5" customHeight="1">
      <c r="A5" s="23"/>
      <c r="B5" t="s" s="30">
        <v>4</v>
      </c>
      <c r="C5" s="31"/>
      <c r="D5" s="32"/>
      <c r="E5" s="33"/>
      <c r="F5" s="33"/>
      <c r="G5" s="33"/>
      <c r="H5" s="33"/>
      <c r="I5" s="33"/>
      <c r="J5" s="33"/>
      <c r="K5" s="34"/>
      <c r="L5" s="34"/>
      <c r="M5" s="34"/>
      <c r="N5" s="34"/>
      <c r="O5" s="34"/>
      <c r="P5" s="34"/>
      <c r="Q5" s="35"/>
      <c r="R5" s="35"/>
      <c r="S5" s="36"/>
      <c r="T5" s="37"/>
    </row>
    <row r="6" ht="13.5" customHeight="1">
      <c r="A6" s="23"/>
      <c r="B6" s="38"/>
      <c r="C6" s="39"/>
      <c r="D6" s="40">
        <v>2023</v>
      </c>
      <c r="E6" s="40">
        <v>2024</v>
      </c>
      <c r="F6" s="40">
        <v>2025</v>
      </c>
      <c r="G6" s="40">
        <v>2026</v>
      </c>
      <c r="H6" s="40">
        <v>2027</v>
      </c>
      <c r="I6" s="40">
        <v>2028</v>
      </c>
      <c r="J6" s="40">
        <v>2029</v>
      </c>
      <c r="K6" s="41"/>
      <c r="L6" s="34"/>
      <c r="M6" s="34"/>
      <c r="N6" s="34"/>
      <c r="O6" s="34"/>
      <c r="P6" s="35"/>
      <c r="Q6" s="35"/>
      <c r="R6" s="35"/>
      <c r="S6" s="36"/>
      <c r="T6" s="42"/>
    </row>
    <row r="7" ht="13.15" customHeight="1">
      <c r="A7" s="23"/>
      <c r="B7" t="s" s="43">
        <v>5</v>
      </c>
      <c r="C7" s="38"/>
      <c r="D7" s="44">
        <v>11458</v>
      </c>
      <c r="E7" s="45">
        <f>D7*((1+$D$8)^3)</f>
        <v>12159.321264</v>
      </c>
      <c r="F7" s="45">
        <f>E7*(1+$D$8)</f>
        <v>12402.50768928</v>
      </c>
      <c r="G7" s="45">
        <f>F7*(1+$D$8)</f>
        <v>12650.5578430656</v>
      </c>
      <c r="H7" s="45">
        <f>G7*(1+$D$8)</f>
        <v>12903.5689999269</v>
      </c>
      <c r="I7" s="45">
        <f>H7*(1+$D$8)</f>
        <v>13161.6403799254</v>
      </c>
      <c r="J7" s="45">
        <f>I7*(1+$D$8)</f>
        <v>13424.8731875239</v>
      </c>
      <c r="K7" s="34"/>
      <c r="L7" s="34"/>
      <c r="M7" s="34"/>
      <c r="N7" s="34"/>
      <c r="O7" s="34"/>
      <c r="P7" s="35"/>
      <c r="Q7" s="35"/>
      <c r="R7" s="35"/>
      <c r="S7" s="36"/>
      <c r="T7" s="42"/>
    </row>
    <row r="8" ht="13.15" customHeight="1">
      <c r="A8" s="23"/>
      <c r="B8" t="s" s="43">
        <v>6</v>
      </c>
      <c r="C8" s="31"/>
      <c r="D8" s="46">
        <v>0.02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5"/>
      <c r="R8" s="35"/>
      <c r="S8" s="36"/>
      <c r="T8" s="37"/>
    </row>
    <row r="9" ht="13.15" customHeight="1">
      <c r="A9" s="23"/>
      <c r="B9" t="s" s="43">
        <v>7</v>
      </c>
      <c r="C9" s="31"/>
      <c r="D9" s="34">
        <v>26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5"/>
      <c r="R9" s="35"/>
      <c r="S9" s="36"/>
      <c r="T9" s="37"/>
    </row>
    <row r="10" ht="13.15" customHeight="1">
      <c r="A10" s="23"/>
      <c r="B10" t="s" s="43">
        <v>8</v>
      </c>
      <c r="C10" s="31"/>
      <c r="D10" s="47">
        <v>0.1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5"/>
      <c r="R10" s="35"/>
      <c r="S10" s="36"/>
      <c r="T10" s="37"/>
    </row>
    <row r="11" ht="13.15" customHeight="1">
      <c r="A11" s="23"/>
      <c r="B11" t="s" s="43">
        <v>9</v>
      </c>
      <c r="C11" s="31"/>
      <c r="D11" s="47">
        <v>0.02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5"/>
      <c r="R11" s="35"/>
      <c r="S11" s="36"/>
      <c r="T11" s="37"/>
    </row>
    <row r="12" ht="13.5" customHeight="1">
      <c r="A12" s="23"/>
      <c r="B12" s="38"/>
      <c r="C12" s="31"/>
      <c r="D12" s="34"/>
      <c r="E12" s="33"/>
      <c r="F12" s="33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5"/>
      <c r="R12" s="35"/>
      <c r="S12" s="36"/>
      <c r="T12" s="37"/>
    </row>
    <row r="13" ht="13.5" customHeight="1">
      <c r="A13" s="23"/>
      <c r="B13" s="38"/>
      <c r="C13" s="31"/>
      <c r="D13" s="48"/>
      <c r="E13" t="s" s="49">
        <v>10</v>
      </c>
      <c r="F13" t="s" s="49">
        <v>11</v>
      </c>
      <c r="G13" s="41"/>
      <c r="H13" s="34"/>
      <c r="I13" s="34"/>
      <c r="J13" s="34"/>
      <c r="K13" s="34"/>
      <c r="L13" s="34"/>
      <c r="M13" s="34"/>
      <c r="N13" s="34"/>
      <c r="O13" s="34"/>
      <c r="P13" s="34"/>
      <c r="Q13" s="35"/>
      <c r="R13" s="35"/>
      <c r="S13" s="36"/>
      <c r="T13" s="37"/>
    </row>
    <row r="14" ht="13.5" customHeight="1">
      <c r="A14" s="23"/>
      <c r="B14" t="s" s="30">
        <v>12</v>
      </c>
      <c r="C14" s="50"/>
      <c r="D14" t="s" s="51">
        <v>13</v>
      </c>
      <c r="E14" t="s" s="52">
        <v>14</v>
      </c>
      <c r="F14" t="s" s="52">
        <v>15</v>
      </c>
      <c r="G14" s="41"/>
      <c r="H14" s="34"/>
      <c r="I14" s="34"/>
      <c r="J14" s="34"/>
      <c r="K14" s="34"/>
      <c r="L14" s="34"/>
      <c r="M14" s="34"/>
      <c r="N14" s="34"/>
      <c r="O14" s="34"/>
      <c r="P14" s="34"/>
      <c r="Q14" s="35"/>
      <c r="R14" s="35"/>
      <c r="S14" s="36"/>
      <c r="T14" s="37"/>
    </row>
    <row r="15" ht="13.15" customHeight="1">
      <c r="A15" s="23"/>
      <c r="B15" t="s" s="43">
        <v>16</v>
      </c>
      <c r="C15" s="31"/>
      <c r="D15" s="53">
        <v>9</v>
      </c>
      <c r="E15" s="54">
        <v>0.58</v>
      </c>
      <c r="F15" s="55">
        <v>0.5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  <c r="R15" s="35"/>
      <c r="S15" s="36"/>
      <c r="T15" s="37"/>
    </row>
    <row r="16" ht="13.15" customHeight="1">
      <c r="A16" s="23"/>
      <c r="B16" t="s" s="43">
        <v>17</v>
      </c>
      <c r="C16" s="31"/>
      <c r="D16" s="56">
        <v>12</v>
      </c>
      <c r="E16" s="57">
        <v>1</v>
      </c>
      <c r="F16" s="58">
        <v>0.1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5"/>
      <c r="R16" s="35"/>
      <c r="S16" s="36"/>
      <c r="T16" s="37"/>
    </row>
    <row r="17" ht="13.15" customHeight="1">
      <c r="A17" s="23"/>
      <c r="B17" t="s" s="43">
        <v>18</v>
      </c>
      <c r="C17" s="31"/>
      <c r="D17" s="56">
        <v>18</v>
      </c>
      <c r="E17" s="57">
        <v>1.5</v>
      </c>
      <c r="F17" s="58">
        <v>0.1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5"/>
      <c r="R17" s="35"/>
      <c r="S17" s="36"/>
      <c r="T17" s="37"/>
    </row>
    <row r="18" ht="13.15" customHeight="1">
      <c r="A18" s="23"/>
      <c r="B18" t="s" s="59">
        <v>19</v>
      </c>
      <c r="C18" s="60"/>
      <c r="D18" s="61">
        <v>23</v>
      </c>
      <c r="E18" s="62">
        <v>2.09</v>
      </c>
      <c r="F18" s="63">
        <v>0.3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5"/>
      <c r="R18" s="35"/>
      <c r="S18" s="36"/>
      <c r="T18" s="37"/>
    </row>
    <row r="19" ht="13.15" customHeight="1">
      <c r="A19" s="23"/>
      <c r="B19" t="s" s="64">
        <v>20</v>
      </c>
      <c r="C19" s="65"/>
      <c r="D19" s="66">
        <f>SUMPRODUCT(D15:D18,F15:F18)*(1-D10)</f>
        <v>12.96</v>
      </c>
      <c r="E19" s="66">
        <f>SUMPRODUCT(E15:E18,F15:F18)</f>
        <v>1.167</v>
      </c>
      <c r="F19" s="67"/>
      <c r="G19" s="57"/>
      <c r="H19" s="57">
        <f>D19*2.5</f>
        <v>32.4</v>
      </c>
      <c r="I19" s="57">
        <f>E19*2.5</f>
        <v>2.9175</v>
      </c>
      <c r="J19" s="34">
        <f>H19-I19</f>
        <v>29.4825</v>
      </c>
      <c r="K19" s="34"/>
      <c r="L19" s="34"/>
      <c r="M19" s="34"/>
      <c r="N19" s="34"/>
      <c r="O19" s="34"/>
      <c r="P19" s="34"/>
      <c r="Q19" s="35"/>
      <c r="R19" s="35"/>
      <c r="S19" s="36"/>
      <c r="T19" s="37"/>
    </row>
    <row r="20" ht="13.15" customHeight="1">
      <c r="A20" s="23"/>
      <c r="B20" t="s" s="43">
        <v>21</v>
      </c>
      <c r="C20" s="31"/>
      <c r="D20" s="56">
        <v>19.99</v>
      </c>
      <c r="E20" s="68">
        <f>E17</f>
        <v>1.5</v>
      </c>
      <c r="F20" s="58">
        <v>0.7</v>
      </c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  <c r="R20" s="35"/>
      <c r="S20" s="36"/>
      <c r="T20" s="37"/>
    </row>
    <row r="21" ht="13.15" customHeight="1">
      <c r="A21" s="23"/>
      <c r="B21" t="s" s="59">
        <v>22</v>
      </c>
      <c r="C21" s="60"/>
      <c r="D21" s="61">
        <v>40</v>
      </c>
      <c r="E21" s="69">
        <f>E18</f>
        <v>2.09</v>
      </c>
      <c r="F21" s="70">
        <f>1-F20</f>
        <v>0.3</v>
      </c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5"/>
      <c r="R21" s="35"/>
      <c r="S21" s="36"/>
      <c r="T21" s="37"/>
    </row>
    <row r="22" ht="13.15" customHeight="1">
      <c r="A22" s="23"/>
      <c r="B22" t="s" s="64">
        <v>23</v>
      </c>
      <c r="C22" s="65"/>
      <c r="D22" s="66">
        <f>SUMPRODUCT(D20:D21,$F$20:$F$21)</f>
        <v>25.993</v>
      </c>
      <c r="E22" s="66">
        <f>SUMPRODUCT(E20:E21,$F$20:$F$21)</f>
        <v>1.677</v>
      </c>
      <c r="F22" s="67"/>
      <c r="G22" s="57"/>
      <c r="H22" s="57">
        <f>D22</f>
        <v>25.993</v>
      </c>
      <c r="I22" s="57">
        <f>E22*2.5</f>
        <v>4.1925</v>
      </c>
      <c r="J22" s="57">
        <f>H22-I22</f>
        <v>21.8005</v>
      </c>
      <c r="K22" s="34"/>
      <c r="L22" s="34"/>
      <c r="M22" s="34"/>
      <c r="N22" s="34"/>
      <c r="O22" s="34"/>
      <c r="P22" s="34"/>
      <c r="Q22" s="35"/>
      <c r="R22" s="35"/>
      <c r="S22" s="36"/>
      <c r="T22" s="37"/>
    </row>
    <row r="23" ht="13.15" customHeight="1">
      <c r="A23" s="23"/>
      <c r="B23" s="38"/>
      <c r="C23" s="31"/>
      <c r="D23" s="46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5"/>
      <c r="R23" s="35"/>
      <c r="S23" s="36"/>
      <c r="T23" s="37"/>
    </row>
    <row r="24" ht="13.15" customHeight="1">
      <c r="A24" s="23"/>
      <c r="B24" t="s" s="71">
        <v>24</v>
      </c>
      <c r="C24" s="31"/>
      <c r="D24" s="72">
        <v>2.5</v>
      </c>
      <c r="E24" s="7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5"/>
      <c r="R24" s="35"/>
      <c r="S24" s="36"/>
      <c r="T24" s="37"/>
    </row>
    <row r="25" ht="13.5" customHeight="1">
      <c r="A25" s="23"/>
      <c r="B25" s="38"/>
      <c r="C25" s="31"/>
      <c r="D25" s="74"/>
      <c r="E25" s="75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76"/>
      <c r="R25" s="35"/>
      <c r="S25" s="36"/>
      <c r="T25" s="37"/>
    </row>
    <row r="26" ht="13.5" customHeight="1">
      <c r="A26" s="23"/>
      <c r="B26" s="38"/>
      <c r="C26" s="31"/>
      <c r="D26" s="77"/>
      <c r="E26" s="78">
        <v>45139</v>
      </c>
      <c r="F26" s="78">
        <f>EDATE(E26,1)</f>
        <v>45170</v>
      </c>
      <c r="G26" s="78">
        <f>EDATE(F26,1)</f>
        <v>45200</v>
      </c>
      <c r="H26" s="78">
        <f>EDATE(G26,1)</f>
        <v>45231</v>
      </c>
      <c r="I26" s="78">
        <f>EDATE(H26,1)</f>
        <v>45261</v>
      </c>
      <c r="J26" s="78">
        <f>EDATE(I26,1)</f>
        <v>45292</v>
      </c>
      <c r="K26" s="78">
        <f>EDATE(J26,1)</f>
        <v>45323</v>
      </c>
      <c r="L26" s="78">
        <f>EDATE(K26,1)</f>
        <v>45352</v>
      </c>
      <c r="M26" s="78">
        <f>EDATE(L26,1)</f>
        <v>45383</v>
      </c>
      <c r="N26" s="78">
        <f>EDATE(M26,1)</f>
        <v>45413</v>
      </c>
      <c r="O26" s="78">
        <f>EDATE(N26,1)</f>
        <v>45444</v>
      </c>
      <c r="P26" s="79">
        <f>EDATE(O26,12)</f>
        <v>45809</v>
      </c>
      <c r="Q26" s="80">
        <f>EDATE(P26,12)</f>
        <v>46174</v>
      </c>
      <c r="R26" s="81">
        <f>EDATE(Q26,12)</f>
        <v>46539</v>
      </c>
      <c r="S26" s="82">
        <f>EDATE(R26,12)</f>
        <v>46905</v>
      </c>
      <c r="T26" s="37"/>
    </row>
    <row r="27" ht="13.15" customHeight="1">
      <c r="A27" s="23"/>
      <c r="B27" t="s" s="83">
        <v>25</v>
      </c>
      <c r="C27" s="31"/>
      <c r="D27" t="s" s="84">
        <v>26</v>
      </c>
      <c r="E27" s="44">
        <v>100</v>
      </c>
      <c r="F27" s="44">
        <v>100</v>
      </c>
      <c r="G27" s="44">
        <v>100</v>
      </c>
      <c r="H27" s="44">
        <v>100</v>
      </c>
      <c r="I27" s="44">
        <v>100</v>
      </c>
      <c r="J27" s="44">
        <v>100</v>
      </c>
      <c r="K27" s="44">
        <v>100</v>
      </c>
      <c r="L27" s="44">
        <v>100</v>
      </c>
      <c r="M27" s="44">
        <v>100</v>
      </c>
      <c r="N27" s="44">
        <v>100</v>
      </c>
      <c r="O27" s="44">
        <v>100</v>
      </c>
      <c r="P27" s="44">
        <v>100</v>
      </c>
      <c r="Q27" s="85">
        <f>P28*$D$29</f>
        <v>96</v>
      </c>
      <c r="R27" s="34">
        <f>Q28*$D$29</f>
        <v>103.68</v>
      </c>
      <c r="S27" s="86">
        <f>R28*$D$29</f>
        <v>111.9744</v>
      </c>
      <c r="T27" s="37"/>
    </row>
    <row r="28" ht="13.15" customHeight="1">
      <c r="A28" s="23"/>
      <c r="B28" t="s" s="87">
        <v>27</v>
      </c>
      <c r="C28" s="88"/>
      <c r="D28" s="89"/>
      <c r="E28" s="90">
        <f>E27</f>
        <v>100</v>
      </c>
      <c r="F28" s="90">
        <f>E28+F27</f>
        <v>200</v>
      </c>
      <c r="G28" s="90">
        <f>F28+G27</f>
        <v>300</v>
      </c>
      <c r="H28" s="90">
        <f>G28+H27</f>
        <v>400</v>
      </c>
      <c r="I28" s="90">
        <f>H28+I27</f>
        <v>500</v>
      </c>
      <c r="J28" s="90">
        <f>I28+J27</f>
        <v>600</v>
      </c>
      <c r="K28" s="90">
        <f>J28+K27</f>
        <v>700</v>
      </c>
      <c r="L28" s="90">
        <f>K28+L27</f>
        <v>800</v>
      </c>
      <c r="M28" s="90">
        <f>L28+M27</f>
        <v>900</v>
      </c>
      <c r="N28" s="90">
        <f>M28+N27</f>
        <v>1000</v>
      </c>
      <c r="O28" s="90">
        <f>N28+O27</f>
        <v>1100</v>
      </c>
      <c r="P28" s="90">
        <f>O28+P27</f>
        <v>1200</v>
      </c>
      <c r="Q28" s="90">
        <f>P28+Q27</f>
        <v>1296</v>
      </c>
      <c r="R28" s="90">
        <f>Q28+R27</f>
        <v>1399.68</v>
      </c>
      <c r="S28" s="91">
        <f>R28+S27</f>
        <v>1511.6544</v>
      </c>
      <c r="T28" s="37"/>
    </row>
    <row r="29" ht="13.15" customHeight="1">
      <c r="A29" s="92"/>
      <c r="B29" t="s" s="93">
        <v>28</v>
      </c>
      <c r="C29" s="94"/>
      <c r="D29" s="95">
        <v>0.08</v>
      </c>
      <c r="E29" s="96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8"/>
      <c r="R29" s="99"/>
      <c r="S29" s="100"/>
      <c r="T29" s="37"/>
    </row>
    <row r="30" ht="13.15" customHeight="1">
      <c r="A30" s="23"/>
      <c r="B30" s="101"/>
      <c r="C30" s="102"/>
      <c r="D30" s="103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5"/>
      <c r="R30" s="35"/>
      <c r="S30" s="36"/>
      <c r="T30" s="37"/>
    </row>
    <row r="31" ht="13.5" customHeight="1">
      <c r="A31" s="23"/>
      <c r="B31" s="38"/>
      <c r="C31" s="31"/>
      <c r="D31" s="10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5"/>
      <c r="R31" s="35"/>
      <c r="S31" s="36"/>
      <c r="T31" s="37"/>
    </row>
    <row r="32" ht="13.5" customHeight="1">
      <c r="A32" s="23"/>
      <c r="B32" s="38"/>
      <c r="C32" s="50"/>
      <c r="D32" t="s" s="49">
        <v>29</v>
      </c>
      <c r="E32" s="105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76"/>
      <c r="R32" s="35"/>
      <c r="S32" s="106"/>
      <c r="T32" s="37"/>
    </row>
    <row r="33" ht="13.5" customHeight="1">
      <c r="A33" s="23"/>
      <c r="B33" t="s" s="71">
        <v>30</v>
      </c>
      <c r="C33" s="50"/>
      <c r="D33" t="s" s="52">
        <v>31</v>
      </c>
      <c r="E33" s="78">
        <v>45139</v>
      </c>
      <c r="F33" s="78">
        <f>EDATE(E33,1)</f>
        <v>45170</v>
      </c>
      <c r="G33" s="78">
        <f>EDATE(F33,1)</f>
        <v>45200</v>
      </c>
      <c r="H33" s="78">
        <f>EDATE(G33,1)</f>
        <v>45231</v>
      </c>
      <c r="I33" s="78">
        <f>EDATE(H33,1)</f>
        <v>45261</v>
      </c>
      <c r="J33" s="78">
        <f>EDATE(I33,1)</f>
        <v>45292</v>
      </c>
      <c r="K33" s="78">
        <f>EDATE(J33,1)</f>
        <v>45323</v>
      </c>
      <c r="L33" s="78">
        <f>EDATE(K33,1)</f>
        <v>45352</v>
      </c>
      <c r="M33" s="78">
        <f>EDATE(L33,1)</f>
        <v>45383</v>
      </c>
      <c r="N33" s="78">
        <f>EDATE(M33,1)</f>
        <v>45413</v>
      </c>
      <c r="O33" s="78">
        <f>EDATE(N33,1)</f>
        <v>45444</v>
      </c>
      <c r="P33" s="79">
        <f>EDATE(O33,12)</f>
        <v>45809</v>
      </c>
      <c r="Q33" s="79">
        <f>EDATE(P33,12)</f>
        <v>46174</v>
      </c>
      <c r="R33" s="81">
        <f>EDATE(Q33,12)</f>
        <v>46539</v>
      </c>
      <c r="S33" s="107">
        <f>EDATE(R33,12)</f>
        <v>46905</v>
      </c>
      <c r="T33" s="37"/>
    </row>
    <row r="34" ht="13.15" customHeight="1">
      <c r="A34" s="23"/>
      <c r="B34" t="s" s="43">
        <v>32</v>
      </c>
      <c r="C34" s="31"/>
      <c r="D34" s="108">
        <v>0</v>
      </c>
      <c r="E34" s="108">
        <v>0.02</v>
      </c>
      <c r="F34" s="108">
        <v>0.02</v>
      </c>
      <c r="G34" s="108">
        <v>0.02</v>
      </c>
      <c r="H34" s="108">
        <v>0.02</v>
      </c>
      <c r="I34" s="108">
        <v>0.02</v>
      </c>
      <c r="J34" s="108">
        <v>0.02</v>
      </c>
      <c r="K34" s="108">
        <v>0.02</v>
      </c>
      <c r="L34" s="108">
        <v>0.02</v>
      </c>
      <c r="M34" s="108">
        <v>0.02</v>
      </c>
      <c r="N34" s="108">
        <v>0.02</v>
      </c>
      <c r="O34" s="108">
        <v>0.02</v>
      </c>
      <c r="P34" s="108">
        <v>0.02</v>
      </c>
      <c r="Q34" s="108">
        <v>0.02</v>
      </c>
      <c r="R34" s="109">
        <v>0.02</v>
      </c>
      <c r="S34" s="109">
        <v>0.02</v>
      </c>
      <c r="T34" s="110"/>
    </row>
    <row r="35" ht="13.15" customHeight="1">
      <c r="A35" s="23"/>
      <c r="B35" t="s" s="111">
        <v>33</v>
      </c>
      <c r="C35" s="88"/>
      <c r="D35" s="90">
        <f>D34*$E$7</f>
        <v>0</v>
      </c>
      <c r="E35" s="90">
        <f>E34*$E$7</f>
        <v>243.18642528</v>
      </c>
      <c r="F35" s="90">
        <f>F34*$E$7</f>
        <v>243.18642528</v>
      </c>
      <c r="G35" s="90">
        <f>G34*$E$7</f>
        <v>243.18642528</v>
      </c>
      <c r="H35" s="90">
        <f>H34*$E$7</f>
        <v>243.18642528</v>
      </c>
      <c r="I35" s="90">
        <f>I34*$E$7</f>
        <v>243.18642528</v>
      </c>
      <c r="J35" s="90">
        <f>J34*$F$7</f>
        <v>248.0501537856</v>
      </c>
      <c r="K35" s="90">
        <f>K34*$F$7</f>
        <v>248.0501537856</v>
      </c>
      <c r="L35" s="90">
        <f>L34*$F$7</f>
        <v>248.0501537856</v>
      </c>
      <c r="M35" s="90">
        <f>M34*$F$7</f>
        <v>248.0501537856</v>
      </c>
      <c r="N35" s="90">
        <f>N34*$F$7</f>
        <v>248.0501537856</v>
      </c>
      <c r="O35" s="90">
        <f>O34*$F$7</f>
        <v>248.0501537856</v>
      </c>
      <c r="P35" s="90">
        <f>P34*$G$7</f>
        <v>253.011156861312</v>
      </c>
      <c r="Q35" s="90">
        <f>Q34*$H$7</f>
        <v>258.071379998538</v>
      </c>
      <c r="R35" s="90">
        <f>R34*$I$7</f>
        <v>263.232807598508</v>
      </c>
      <c r="S35" s="91">
        <f>S34*$J$7</f>
        <v>268.497463750478</v>
      </c>
      <c r="T35" s="37"/>
    </row>
    <row r="36" ht="13.15" customHeight="1">
      <c r="A36" s="23"/>
      <c r="B36" t="s" s="112">
        <v>34</v>
      </c>
      <c r="C36" s="102"/>
      <c r="D36" s="113">
        <f>D35*$D$9</f>
        <v>0</v>
      </c>
      <c r="E36" s="113">
        <f>E35*$D$9</f>
        <v>6322.84705728</v>
      </c>
      <c r="F36" s="113">
        <f>F35*$D$9</f>
        <v>6322.84705728</v>
      </c>
      <c r="G36" s="113">
        <f>G35*$D$9</f>
        <v>6322.84705728</v>
      </c>
      <c r="H36" s="113">
        <f>H35*$D$9</f>
        <v>6322.84705728</v>
      </c>
      <c r="I36" s="113">
        <f>I35*$D$9</f>
        <v>6322.84705728</v>
      </c>
      <c r="J36" s="113">
        <f>J35*$D$9</f>
        <v>6449.3039984256</v>
      </c>
      <c r="K36" s="113">
        <f>K35*$D$9</f>
        <v>6449.3039984256</v>
      </c>
      <c r="L36" s="113">
        <f>L35*$D$9</f>
        <v>6449.3039984256</v>
      </c>
      <c r="M36" s="113">
        <f>M35*$D$9</f>
        <v>6449.3039984256</v>
      </c>
      <c r="N36" s="113">
        <f>N35*$D$9</f>
        <v>6449.3039984256</v>
      </c>
      <c r="O36" s="113">
        <f>O35*$D$9</f>
        <v>6449.3039984256</v>
      </c>
      <c r="P36" s="113">
        <f>P35*$D$9*12</f>
        <v>78939.480940729307</v>
      </c>
      <c r="Q36" s="113">
        <f>Q35*$D$9*12</f>
        <v>80518.2705595439</v>
      </c>
      <c r="R36" s="113">
        <f>R35*$D$9*12</f>
        <v>82128.6359707345</v>
      </c>
      <c r="S36" s="114">
        <f>S35*$D$9*12</f>
        <v>83771.2086901491</v>
      </c>
      <c r="T36" s="37"/>
    </row>
    <row r="37" ht="13.15" customHeight="1">
      <c r="A37" s="23"/>
      <c r="B37" t="s" s="111">
        <v>35</v>
      </c>
      <c r="C37" s="88"/>
      <c r="D37" s="90">
        <v>0</v>
      </c>
      <c r="E37" s="90">
        <f>E28*$D$24</f>
        <v>250</v>
      </c>
      <c r="F37" s="90">
        <f>F28*$D$24</f>
        <v>500</v>
      </c>
      <c r="G37" s="90">
        <f>G28*$D$24</f>
        <v>750</v>
      </c>
      <c r="H37" s="90">
        <f>H28*$D$24</f>
        <v>1000</v>
      </c>
      <c r="I37" s="90">
        <f>I28*$D$24</f>
        <v>1250</v>
      </c>
      <c r="J37" s="90">
        <f>J28*$D$24</f>
        <v>1500</v>
      </c>
      <c r="K37" s="90">
        <f>K28*$D$24</f>
        <v>1750</v>
      </c>
      <c r="L37" s="90">
        <f>L28*$D$24</f>
        <v>2000</v>
      </c>
      <c r="M37" s="90">
        <f>M28*$D$24</f>
        <v>2250</v>
      </c>
      <c r="N37" s="90">
        <f>N28*$D$24</f>
        <v>2500</v>
      </c>
      <c r="O37" s="90">
        <f>O28*$D$24</f>
        <v>2750</v>
      </c>
      <c r="P37" s="90">
        <f>P28*$D$24*12</f>
        <v>36000</v>
      </c>
      <c r="Q37" s="90">
        <f>Q28*$D$24*12</f>
        <v>38880</v>
      </c>
      <c r="R37" s="90">
        <f>R28*$D$24*12</f>
        <v>41990.4</v>
      </c>
      <c r="S37" s="91">
        <f>S28*$D$24*12</f>
        <v>45349.632</v>
      </c>
      <c r="T37" s="37"/>
    </row>
    <row r="38" ht="13.15" customHeight="1">
      <c r="A38" s="23"/>
      <c r="B38" t="s" s="112">
        <v>36</v>
      </c>
      <c r="C38" s="102"/>
      <c r="D38" s="113">
        <f>SUM(D36:D37)</f>
        <v>0</v>
      </c>
      <c r="E38" s="113">
        <f>SUM(E36:E37)</f>
        <v>6572.84705728</v>
      </c>
      <c r="F38" s="113">
        <f>SUM(F36:F37)</f>
        <v>6822.84705728</v>
      </c>
      <c r="G38" s="113">
        <f>SUM(G36:G37)</f>
        <v>7072.84705728</v>
      </c>
      <c r="H38" s="113">
        <f>SUM(H36:H37)</f>
        <v>7322.84705728</v>
      </c>
      <c r="I38" s="113">
        <f>SUM(I36:I37)</f>
        <v>7572.84705728</v>
      </c>
      <c r="J38" s="113">
        <f>SUM(J36:J37)</f>
        <v>7949.3039984256</v>
      </c>
      <c r="K38" s="113">
        <f>SUM(K36:K37)</f>
        <v>8199.303998425599</v>
      </c>
      <c r="L38" s="113">
        <f>SUM(L36:L37)</f>
        <v>8449.303998425599</v>
      </c>
      <c r="M38" s="113">
        <f>SUM(M36:M37)</f>
        <v>8699.303998425599</v>
      </c>
      <c r="N38" s="113">
        <f>SUM(N36:N37)</f>
        <v>8949.303998425599</v>
      </c>
      <c r="O38" s="113">
        <f>SUM(O36:O37)</f>
        <v>9199.303998425599</v>
      </c>
      <c r="P38" s="113">
        <f>SUM(P36:P37)</f>
        <v>114939.480940729</v>
      </c>
      <c r="Q38" s="113">
        <f>SUM(Q36:Q37)</f>
        <v>119398.270559544</v>
      </c>
      <c r="R38" s="113">
        <f>SUM(R36:R37)</f>
        <v>124119.035970735</v>
      </c>
      <c r="S38" s="114">
        <f>SUM(S36:S37)</f>
        <v>129120.840690149</v>
      </c>
      <c r="T38" s="37"/>
    </row>
    <row r="39" ht="13.75" customHeight="1">
      <c r="A39" s="23"/>
      <c r="B39" t="s" s="115">
        <v>37</v>
      </c>
      <c r="C39" s="116"/>
      <c r="D39" s="117"/>
      <c r="E39" s="118">
        <f>E38/($E$7*$D$9)</f>
        <v>0.020790783005615</v>
      </c>
      <c r="F39" s="118">
        <f>F38/($E$7*$D$9)</f>
        <v>0.0215815660112301</v>
      </c>
      <c r="G39" s="118">
        <f>G38/($E$7*$D$9)</f>
        <v>0.0223723490168451</v>
      </c>
      <c r="H39" s="118">
        <f>H38/($E$7*$D$9)</f>
        <v>0.0231631320224601</v>
      </c>
      <c r="I39" s="118">
        <f>I38/($E$7*$D$9)</f>
        <v>0.0239539150280751</v>
      </c>
      <c r="J39" s="118">
        <f>J38/($F$7*$D$9)</f>
        <v>0.0246516647389119</v>
      </c>
      <c r="K39" s="118">
        <f>K38/($F$7*$D$9)</f>
        <v>0.0254269421953972</v>
      </c>
      <c r="L39" s="118">
        <f>L38/($F$7*$D$9)</f>
        <v>0.0262022196518826</v>
      </c>
      <c r="M39" s="118">
        <f>M38/($F$7*$D$9)</f>
        <v>0.0269774971083679</v>
      </c>
      <c r="N39" s="118">
        <f>N38/($F$7*$D$9)</f>
        <v>0.0277527745648532</v>
      </c>
      <c r="O39" s="118">
        <f>O38/($F$7*$D$9)</f>
        <v>0.0285280520213385</v>
      </c>
      <c r="P39" s="118">
        <f>P38/($G$7*$D$9*12)</f>
        <v>0.0291209112527684</v>
      </c>
      <c r="Q39" s="118">
        <f>Q38/($H$7*$D$9*12)</f>
        <v>0.0296574354441078</v>
      </c>
      <c r="R39" s="118">
        <f>R38/($I$7*$D$9*12)</f>
        <v>0.0302255198819966</v>
      </c>
      <c r="S39" s="119">
        <f>S38/($J$7*$D$9*12)</f>
        <v>0.0308270210515257</v>
      </c>
      <c r="T39" s="37"/>
    </row>
    <row r="40" ht="13.75" customHeight="1">
      <c r="A40" s="23"/>
      <c r="B40" s="120"/>
      <c r="C40" s="121"/>
      <c r="D40" s="122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4">
        <f>P38/300/10/60</f>
        <v>0.638552671892939</v>
      </c>
      <c r="Q40" s="123"/>
      <c r="R40" s="123"/>
      <c r="S40" s="125"/>
      <c r="T40" s="37"/>
    </row>
    <row r="41" ht="13.75" customHeight="1">
      <c r="A41" s="126"/>
      <c r="B41" t="s" s="127">
        <v>38</v>
      </c>
      <c r="C41" s="128"/>
      <c r="D41" s="129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1"/>
      <c r="T41" s="37"/>
    </row>
    <row r="42" ht="13.75" customHeight="1">
      <c r="A42" s="126"/>
      <c r="B42" t="s" s="132">
        <v>39</v>
      </c>
      <c r="C42" s="133"/>
      <c r="D42" s="134"/>
      <c r="E42" s="135">
        <f>E36/E38</f>
        <v>0.9619647319005999</v>
      </c>
      <c r="F42" s="135">
        <f>F36/F38</f>
        <v>0.926716809595417</v>
      </c>
      <c r="G42" s="135">
        <f>G36/G38</f>
        <v>0.893960664789431</v>
      </c>
      <c r="H42" s="135">
        <f>H36/H38</f>
        <v>0.863441091671326</v>
      </c>
      <c r="I42" s="135">
        <f>I36/I38</f>
        <v>0.834936584544073</v>
      </c>
      <c r="J42" s="135">
        <f>J36/J38</f>
        <v>0.811304234899422</v>
      </c>
      <c r="K42" s="135">
        <f>K36/K38</f>
        <v>0.786567250057318</v>
      </c>
      <c r="L42" s="135">
        <f>L36/L38</f>
        <v>0.763294112701748</v>
      </c>
      <c r="M42" s="135">
        <f>M36/M38</f>
        <v>0.741358618987541</v>
      </c>
      <c r="N42" s="135">
        <f>N36/N38</f>
        <v>0.720648667154472</v>
      </c>
      <c r="O42" s="135">
        <f>O36/O38</f>
        <v>0.701064341338144</v>
      </c>
      <c r="P42" s="135">
        <f>P36/P38</f>
        <v>0.686791695026325</v>
      </c>
      <c r="Q42" s="135">
        <f>Q36/Q38</f>
        <v>0.67436714269148</v>
      </c>
      <c r="R42" s="135">
        <f>R36/R38</f>
        <v>0.6616925061366</v>
      </c>
      <c r="S42" s="136">
        <f>S36/S38</f>
        <v>0.648781468912324</v>
      </c>
      <c r="T42" s="37"/>
    </row>
    <row r="43" ht="13.75" customHeight="1">
      <c r="A43" s="126"/>
      <c r="B43" t="s" s="132">
        <v>40</v>
      </c>
      <c r="C43" s="133"/>
      <c r="D43" s="134"/>
      <c r="E43" s="135">
        <f>1-E42</f>
        <v>0.0380352680994</v>
      </c>
      <c r="F43" s="135">
        <f>1-F42</f>
        <v>0.073283190404583</v>
      </c>
      <c r="G43" s="135">
        <f>1-G42</f>
        <v>0.106039335210569</v>
      </c>
      <c r="H43" s="135">
        <f>1-H42</f>
        <v>0.136558908328674</v>
      </c>
      <c r="I43" s="135">
        <f>1-I42</f>
        <v>0.165063415455927</v>
      </c>
      <c r="J43" s="135">
        <f>1-J42</f>
        <v>0.188695765100578</v>
      </c>
      <c r="K43" s="135">
        <f>1-K42</f>
        <v>0.213432749942682</v>
      </c>
      <c r="L43" s="135">
        <f>1-L42</f>
        <v>0.236705887298252</v>
      </c>
      <c r="M43" s="135">
        <f>1-M42</f>
        <v>0.258641381012459</v>
      </c>
      <c r="N43" s="135">
        <f>1-N42</f>
        <v>0.279351332845528</v>
      </c>
      <c r="O43" s="135">
        <f>1-O42</f>
        <v>0.298935658661856</v>
      </c>
      <c r="P43" s="135">
        <f>1-P42</f>
        <v>0.313208304973675</v>
      </c>
      <c r="Q43" s="135">
        <f>1-Q42</f>
        <v>0.32563285730852</v>
      </c>
      <c r="R43" s="135">
        <f>1-R42</f>
        <v>0.3383074938634</v>
      </c>
      <c r="S43" s="136">
        <f>1-S42</f>
        <v>0.351218531087676</v>
      </c>
      <c r="T43" s="37"/>
    </row>
    <row r="44" ht="13.75" customHeight="1">
      <c r="A44" s="126"/>
      <c r="B44" t="s" s="132">
        <v>41</v>
      </c>
      <c r="C44" s="133"/>
      <c r="D44" s="134"/>
      <c r="E44" s="137">
        <f>(E42*$E$19)+(E43*$E$22)</f>
        <v>1.18639798673069</v>
      </c>
      <c r="F44" s="137">
        <f>(F42*$E$19)+(F43*$E$22)</f>
        <v>1.20437442710634</v>
      </c>
      <c r="G44" s="137">
        <f>(G42*$E$19)+(G43*$E$22)</f>
        <v>1.22108006095739</v>
      </c>
      <c r="H44" s="137">
        <f>(H42*$E$19)+(H43*$E$22)</f>
        <v>1.23664504324762</v>
      </c>
      <c r="I44" s="137">
        <f>(I42*$E$19)+(I43*$E$22)</f>
        <v>1.25118234188252</v>
      </c>
      <c r="J44" s="137">
        <f>(J42*$E$19)+(J43*$E$22)</f>
        <v>1.26323484020129</v>
      </c>
      <c r="K44" s="137">
        <f>(K42*$E$19)+(K43*$E$22)</f>
        <v>1.27585070247077</v>
      </c>
      <c r="L44" s="137">
        <f>(L42*$E$19)+(L43*$E$22)</f>
        <v>1.28772000252211</v>
      </c>
      <c r="M44" s="137">
        <f>(M42*$E$19)+(M43*$E$22)</f>
        <v>1.29890710431635</v>
      </c>
      <c r="N44" s="137">
        <f>(N42*$E$19)+(N43*$E$22)</f>
        <v>1.30946917975122</v>
      </c>
      <c r="O44" s="137">
        <f>(O42*$E$19)+(O43*$E$22)</f>
        <v>1.31945718591755</v>
      </c>
      <c r="P44" s="137">
        <f>(P42*$E$19)+(P43*$E$22)</f>
        <v>1.32673623553657</v>
      </c>
      <c r="Q44" s="137">
        <f>(Q42*$E$19)+(Q43*$E$22)</f>
        <v>1.33307275722735</v>
      </c>
      <c r="R44" s="137">
        <f>(R42*$E$19)+(R43*$E$22)</f>
        <v>1.33953682187033</v>
      </c>
      <c r="S44" s="138">
        <f>(S42*$E$19)+(S43*$E$22)</f>
        <v>1.34612145085471</v>
      </c>
      <c r="T44" s="37"/>
    </row>
    <row r="45" ht="13.75" customHeight="1">
      <c r="A45" s="23"/>
      <c r="B45" s="139"/>
      <c r="C45" s="8"/>
      <c r="D45" s="8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1"/>
      <c r="R45" s="141"/>
      <c r="S45" s="141"/>
      <c r="T45" s="110"/>
    </row>
    <row r="46" ht="13.15" customHeight="1">
      <c r="A46" s="23"/>
      <c r="B46" t="s" s="27">
        <v>42</v>
      </c>
      <c r="C46" s="28"/>
      <c r="D46" s="2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25"/>
    </row>
    <row r="47" ht="13.15" customHeight="1">
      <c r="A47" s="126"/>
      <c r="B47" t="s" s="142">
        <v>43</v>
      </c>
      <c r="C47" s="31"/>
      <c r="D47" s="143">
        <f>SUM(D48:D52)</f>
        <v>2.28</v>
      </c>
      <c r="E47" s="144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25"/>
    </row>
    <row r="48" ht="13.15" customHeight="1">
      <c r="A48" s="126"/>
      <c r="B48" t="s" s="145">
        <v>44</v>
      </c>
      <c r="C48" s="31"/>
      <c r="D48" s="146">
        <v>0.66</v>
      </c>
      <c r="E48" s="144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25"/>
    </row>
    <row r="49" ht="13.15" customHeight="1">
      <c r="A49" s="126"/>
      <c r="B49" t="s" s="145">
        <v>45</v>
      </c>
      <c r="C49" s="31"/>
      <c r="D49" s="146">
        <v>0.29</v>
      </c>
      <c r="E49" s="144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25"/>
    </row>
    <row r="50" ht="13.15" customHeight="1">
      <c r="A50" s="126"/>
      <c r="B50" t="s" s="145">
        <v>46</v>
      </c>
      <c r="C50" t="s" s="71">
        <v>47</v>
      </c>
      <c r="D50" s="146">
        <v>0.06</v>
      </c>
      <c r="E50" s="144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25"/>
    </row>
    <row r="51" ht="13.15" customHeight="1">
      <c r="A51" s="126"/>
      <c r="B51" t="s" s="145">
        <v>48</v>
      </c>
      <c r="C51" s="31"/>
      <c r="D51" s="146">
        <v>0.04</v>
      </c>
      <c r="E51" s="144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25"/>
    </row>
    <row r="52" ht="13.15" customHeight="1">
      <c r="A52" s="126"/>
      <c r="B52" t="s" s="145">
        <v>49</v>
      </c>
      <c r="C52" s="31"/>
      <c r="D52" s="147">
        <v>1.23</v>
      </c>
      <c r="E52" s="144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25"/>
    </row>
    <row r="53" ht="13.15" customHeight="1">
      <c r="A53" s="126"/>
      <c r="B53" t="s" s="145">
        <v>50</v>
      </c>
      <c r="C53" s="31"/>
      <c r="D53" s="148">
        <v>0.9</v>
      </c>
      <c r="E53" s="144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25"/>
    </row>
    <row r="54" ht="13.15" customHeight="1">
      <c r="A54" s="126"/>
      <c r="B54" t="s" s="145">
        <v>51</v>
      </c>
      <c r="C54" s="31"/>
      <c r="D54" s="149">
        <f>1-D53</f>
        <v>0.1</v>
      </c>
      <c r="E54" s="144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25"/>
    </row>
    <row r="55" ht="13.15" customHeight="1">
      <c r="A55" s="126"/>
      <c r="B55" t="s" s="145">
        <v>52</v>
      </c>
      <c r="C55" s="31"/>
      <c r="D55" s="148">
        <v>0.5</v>
      </c>
      <c r="E55" s="144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25"/>
    </row>
    <row r="56" ht="13.15" customHeight="1">
      <c r="A56" s="126"/>
      <c r="B56" t="s" s="145">
        <v>53</v>
      </c>
      <c r="C56" s="31"/>
      <c r="D56" s="149">
        <f>1-D55</f>
        <v>0.5</v>
      </c>
      <c r="E56" s="144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25"/>
    </row>
    <row r="57" ht="13.15" customHeight="1">
      <c r="A57" s="126"/>
      <c r="B57" t="s" s="145">
        <v>54</v>
      </c>
      <c r="C57" s="31"/>
      <c r="D57" s="150"/>
      <c r="E57" s="144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25"/>
    </row>
    <row r="58" ht="13.15" customHeight="1">
      <c r="A58" s="126"/>
      <c r="B58" t="s" s="145">
        <v>55</v>
      </c>
      <c r="C58" s="31"/>
      <c r="D58" t="s" s="151">
        <v>56</v>
      </c>
      <c r="E58" s="144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25"/>
    </row>
    <row r="59" ht="13.15" customHeight="1">
      <c r="A59" s="126"/>
      <c r="B59" t="s" s="145">
        <v>57</v>
      </c>
      <c r="C59" s="31"/>
      <c r="D59" s="152">
        <v>30</v>
      </c>
      <c r="E59" s="144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25"/>
    </row>
    <row r="60" ht="13.15" customHeight="1">
      <c r="A60" s="126"/>
      <c r="B60" t="s" s="153">
        <v>58</v>
      </c>
      <c r="C60" s="154"/>
      <c r="D60" s="155">
        <v>7</v>
      </c>
      <c r="E60" s="144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25"/>
    </row>
    <row r="61" ht="13.75" customHeight="1">
      <c r="A61" s="23"/>
      <c r="B61" s="156"/>
      <c r="C61" s="157"/>
      <c r="D61" s="15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25"/>
    </row>
    <row r="62" ht="13.15" customHeight="1">
      <c r="A62" s="23"/>
      <c r="B62" t="s" s="27">
        <v>59</v>
      </c>
      <c r="C62" s="28"/>
      <c r="D62" s="28"/>
      <c r="E62" s="28"/>
      <c r="F62" s="28"/>
      <c r="G62" s="28"/>
      <c r="H62" s="28"/>
      <c r="I62" s="28"/>
      <c r="J62" s="28"/>
      <c r="K62" s="8"/>
      <c r="L62" s="8"/>
      <c r="M62" s="8"/>
      <c r="N62" s="8"/>
      <c r="O62" s="8"/>
      <c r="P62" s="8"/>
      <c r="Q62" s="8"/>
      <c r="R62" s="8"/>
      <c r="S62" s="8"/>
      <c r="T62" s="25"/>
    </row>
    <row r="63" ht="13.15" customHeight="1">
      <c r="A63" s="126"/>
      <c r="B63" t="s" s="159">
        <v>60</v>
      </c>
      <c r="C63" s="31"/>
      <c r="D63" s="160">
        <v>50000</v>
      </c>
      <c r="E63" s="31"/>
      <c r="F63" s="31"/>
      <c r="G63" s="31"/>
      <c r="H63" s="31"/>
      <c r="I63" s="31"/>
      <c r="J63" s="161"/>
      <c r="K63" s="144"/>
      <c r="L63" s="8"/>
      <c r="M63" s="8"/>
      <c r="N63" s="8"/>
      <c r="O63" s="8"/>
      <c r="P63" s="8"/>
      <c r="Q63" s="8"/>
      <c r="R63" s="8"/>
      <c r="S63" s="8"/>
      <c r="T63" s="25"/>
    </row>
    <row r="64" ht="13.15" customHeight="1">
      <c r="A64" s="126"/>
      <c r="B64" t="s" s="159">
        <v>61</v>
      </c>
      <c r="C64" s="31"/>
      <c r="D64" s="34">
        <v>2500</v>
      </c>
      <c r="E64" s="31"/>
      <c r="F64" s="31"/>
      <c r="G64" s="31"/>
      <c r="H64" s="31"/>
      <c r="I64" s="31"/>
      <c r="J64" s="161"/>
      <c r="K64" s="144"/>
      <c r="L64" s="8"/>
      <c r="M64" s="8"/>
      <c r="N64" s="8"/>
      <c r="O64" s="8"/>
      <c r="P64" s="8"/>
      <c r="Q64" s="8"/>
      <c r="R64" s="8"/>
      <c r="S64" s="8"/>
      <c r="T64" s="25"/>
    </row>
    <row r="65" ht="13.15" customHeight="1">
      <c r="A65" s="126"/>
      <c r="B65" t="s" s="159">
        <v>62</v>
      </c>
      <c r="C65" s="31"/>
      <c r="D65" s="34">
        <v>200</v>
      </c>
      <c r="E65" s="31"/>
      <c r="F65" s="31"/>
      <c r="G65" s="31"/>
      <c r="H65" s="31"/>
      <c r="I65" s="31"/>
      <c r="J65" s="161"/>
      <c r="K65" s="144"/>
      <c r="L65" s="8"/>
      <c r="M65" s="8"/>
      <c r="N65" s="8"/>
      <c r="O65" s="8"/>
      <c r="P65" s="8"/>
      <c r="Q65" s="8"/>
      <c r="R65" s="8"/>
      <c r="S65" s="8"/>
      <c r="T65" s="25"/>
    </row>
    <row r="66" ht="13.15" customHeight="1">
      <c r="A66" s="126"/>
      <c r="B66" t="s" s="159">
        <v>63</v>
      </c>
      <c r="C66" s="31"/>
      <c r="D66" s="34">
        <v>30000</v>
      </c>
      <c r="E66" s="31"/>
      <c r="F66" s="31"/>
      <c r="G66" s="31"/>
      <c r="H66" s="31"/>
      <c r="I66" s="31"/>
      <c r="J66" s="161"/>
      <c r="K66" s="144"/>
      <c r="L66" s="8"/>
      <c r="M66" s="8"/>
      <c r="N66" s="8"/>
      <c r="O66" s="8"/>
      <c r="P66" s="8"/>
      <c r="Q66" s="8"/>
      <c r="R66" s="8"/>
      <c r="S66" s="8"/>
      <c r="T66" s="25"/>
    </row>
    <row r="67" ht="13.15" customHeight="1">
      <c r="A67" s="126"/>
      <c r="B67" t="s" s="159">
        <v>64</v>
      </c>
      <c r="C67" s="31"/>
      <c r="D67" s="34">
        <v>1500</v>
      </c>
      <c r="E67" s="31"/>
      <c r="F67" s="31"/>
      <c r="G67" s="31"/>
      <c r="H67" s="31"/>
      <c r="I67" s="31"/>
      <c r="J67" s="161"/>
      <c r="K67" s="144"/>
      <c r="L67" s="8"/>
      <c r="M67" s="8"/>
      <c r="N67" s="8"/>
      <c r="O67" s="8"/>
      <c r="P67" s="8"/>
      <c r="Q67" s="8"/>
      <c r="R67" s="8"/>
      <c r="S67" s="8"/>
      <c r="T67" s="25"/>
    </row>
    <row r="68" ht="13.15" customHeight="1">
      <c r="A68" s="126"/>
      <c r="B68" t="s" s="159">
        <v>65</v>
      </c>
      <c r="C68" s="31"/>
      <c r="D68" s="34">
        <v>1500</v>
      </c>
      <c r="E68" s="31"/>
      <c r="F68" s="31"/>
      <c r="G68" s="31"/>
      <c r="H68" s="31"/>
      <c r="I68" s="31"/>
      <c r="J68" s="161"/>
      <c r="K68" s="144"/>
      <c r="L68" s="8"/>
      <c r="M68" s="8"/>
      <c r="N68" s="8"/>
      <c r="O68" s="8"/>
      <c r="P68" s="8"/>
      <c r="Q68" s="8"/>
      <c r="R68" s="8"/>
      <c r="S68" s="8"/>
      <c r="T68" s="25"/>
    </row>
    <row r="69" ht="13.5" customHeight="1">
      <c r="A69" s="126"/>
      <c r="B69" s="162"/>
      <c r="C69" s="31"/>
      <c r="D69" s="160"/>
      <c r="E69" s="32"/>
      <c r="F69" s="32"/>
      <c r="G69" s="32"/>
      <c r="H69" s="32"/>
      <c r="I69" s="32"/>
      <c r="J69" s="163"/>
      <c r="K69" s="144"/>
      <c r="L69" s="8"/>
      <c r="M69" s="8"/>
      <c r="N69" s="8"/>
      <c r="O69" s="8"/>
      <c r="P69" s="8"/>
      <c r="Q69" s="8"/>
      <c r="R69" s="8"/>
      <c r="S69" s="8"/>
      <c r="T69" s="25"/>
    </row>
    <row r="70" ht="13.5" customHeight="1">
      <c r="A70" s="126"/>
      <c r="B70" t="s" s="142">
        <v>66</v>
      </c>
      <c r="C70" s="31"/>
      <c r="D70" s="164"/>
      <c r="E70" t="s" s="49">
        <v>67</v>
      </c>
      <c r="F70" t="s" s="49">
        <v>68</v>
      </c>
      <c r="G70" t="s" s="165">
        <v>69</v>
      </c>
      <c r="H70" s="166"/>
      <c r="I70" s="166"/>
      <c r="J70" s="167"/>
      <c r="K70" s="168"/>
      <c r="L70" s="8"/>
      <c r="M70" s="8"/>
      <c r="N70" s="8"/>
      <c r="O70" s="8"/>
      <c r="P70" s="8"/>
      <c r="Q70" s="8"/>
      <c r="R70" s="8"/>
      <c r="S70" s="8"/>
      <c r="T70" s="25"/>
    </row>
    <row r="71" ht="13.5" customHeight="1">
      <c r="A71" s="126"/>
      <c r="B71" s="169"/>
      <c r="C71" s="170"/>
      <c r="D71" t="s" s="51">
        <v>70</v>
      </c>
      <c r="E71" t="s" s="52">
        <v>71</v>
      </c>
      <c r="F71" t="s" s="52">
        <v>72</v>
      </c>
      <c r="G71" t="s" s="51">
        <v>73</v>
      </c>
      <c r="H71" t="s" s="51">
        <v>74</v>
      </c>
      <c r="I71" t="s" s="51">
        <v>75</v>
      </c>
      <c r="J71" t="s" s="171">
        <v>76</v>
      </c>
      <c r="K71" s="168"/>
      <c r="L71" s="8"/>
      <c r="M71" s="8"/>
      <c r="N71" s="8"/>
      <c r="O71" s="8"/>
      <c r="P71" s="8"/>
      <c r="Q71" s="8"/>
      <c r="R71" s="8"/>
      <c r="S71" s="8"/>
      <c r="T71" s="25"/>
    </row>
    <row r="72" ht="13.15" customHeight="1">
      <c r="A72" s="126"/>
      <c r="B72" t="s" s="145">
        <v>77</v>
      </c>
      <c r="C72" s="31"/>
      <c r="D72" s="55">
        <v>0.5</v>
      </c>
      <c r="E72" s="54">
        <v>30</v>
      </c>
      <c r="F72" s="44">
        <v>2080</v>
      </c>
      <c r="G72" s="172">
        <v>0.06</v>
      </c>
      <c r="H72" s="172">
        <v>0.06</v>
      </c>
      <c r="I72" s="172">
        <v>0.06</v>
      </c>
      <c r="J72" s="173">
        <v>0.06</v>
      </c>
      <c r="K72" s="144"/>
      <c r="L72" s="8"/>
      <c r="M72" s="8"/>
      <c r="N72" s="8"/>
      <c r="O72" s="8"/>
      <c r="P72" s="8"/>
      <c r="Q72" s="8"/>
      <c r="R72" s="8"/>
      <c r="S72" s="8"/>
      <c r="T72" s="25"/>
    </row>
    <row r="73" ht="13.15" customHeight="1">
      <c r="A73" s="126"/>
      <c r="B73" t="s" s="145">
        <v>78</v>
      </c>
      <c r="C73" s="31"/>
      <c r="D73" s="58">
        <v>0</v>
      </c>
      <c r="E73" s="57">
        <v>16</v>
      </c>
      <c r="F73" s="34">
        <v>2080</v>
      </c>
      <c r="G73" s="35">
        <v>0.06</v>
      </c>
      <c r="H73" s="35">
        <v>0.06</v>
      </c>
      <c r="I73" s="35">
        <v>0.06</v>
      </c>
      <c r="J73" s="36">
        <v>0.06</v>
      </c>
      <c r="K73" s="144"/>
      <c r="L73" s="8"/>
      <c r="M73" s="8"/>
      <c r="N73" s="8"/>
      <c r="O73" s="8"/>
      <c r="P73" s="8"/>
      <c r="Q73" s="8"/>
      <c r="R73" s="8"/>
      <c r="S73" s="8"/>
      <c r="T73" s="25"/>
    </row>
    <row r="74" ht="13.15" customHeight="1">
      <c r="A74" s="126"/>
      <c r="B74" t="s" s="145">
        <v>79</v>
      </c>
      <c r="C74" s="31"/>
      <c r="D74" s="58">
        <v>1</v>
      </c>
      <c r="E74" s="57">
        <v>16</v>
      </c>
      <c r="F74" s="34">
        <v>2080</v>
      </c>
      <c r="G74" s="35">
        <v>0.1</v>
      </c>
      <c r="H74" s="35">
        <v>0.1</v>
      </c>
      <c r="I74" s="35">
        <v>0.1</v>
      </c>
      <c r="J74" s="36">
        <v>0.1</v>
      </c>
      <c r="K74" s="144"/>
      <c r="L74" s="8"/>
      <c r="M74" s="8"/>
      <c r="N74" s="8"/>
      <c r="O74" s="8"/>
      <c r="P74" s="8"/>
      <c r="Q74" s="174"/>
      <c r="R74" s="8"/>
      <c r="S74" s="8"/>
      <c r="T74" s="25"/>
    </row>
    <row r="75" ht="13.15" customHeight="1">
      <c r="A75" s="126"/>
      <c r="B75" t="s" s="175">
        <v>79</v>
      </c>
      <c r="C75" s="176"/>
      <c r="D75" s="177">
        <v>1</v>
      </c>
      <c r="E75" s="178">
        <v>16</v>
      </c>
      <c r="F75" s="179">
        <v>2080</v>
      </c>
      <c r="G75" s="180">
        <v>0.1</v>
      </c>
      <c r="H75" s="180">
        <v>0.1</v>
      </c>
      <c r="I75" s="180">
        <v>0.1</v>
      </c>
      <c r="J75" s="181">
        <v>0.1</v>
      </c>
      <c r="K75" s="144"/>
      <c r="L75" s="8"/>
      <c r="M75" s="8"/>
      <c r="N75" s="8"/>
      <c r="O75" s="8"/>
      <c r="P75" s="8"/>
      <c r="Q75" s="8"/>
      <c r="R75" s="8"/>
      <c r="S75" s="8"/>
      <c r="T75" s="25"/>
    </row>
    <row r="76" ht="13.15" customHeight="1">
      <c r="A76" s="126"/>
      <c r="B76" t="s" s="182">
        <v>80</v>
      </c>
      <c r="C76" s="183"/>
      <c r="D76" s="183"/>
      <c r="E76" s="184">
        <v>0.097</v>
      </c>
      <c r="F76" s="183"/>
      <c r="G76" s="183"/>
      <c r="H76" s="183"/>
      <c r="I76" s="183"/>
      <c r="J76" s="185"/>
      <c r="K76" s="144"/>
      <c r="L76" s="8"/>
      <c r="M76" s="8"/>
      <c r="N76" s="8"/>
      <c r="O76" s="8"/>
      <c r="P76" s="8"/>
      <c r="Q76" s="8"/>
      <c r="R76" s="8"/>
      <c r="S76" s="8"/>
      <c r="T76" s="25"/>
    </row>
    <row r="77" ht="13.15" customHeight="1">
      <c r="A77" s="126"/>
      <c r="B77" t="s" s="153">
        <v>81</v>
      </c>
      <c r="C77" s="154"/>
      <c r="D77" s="154"/>
      <c r="E77" s="186">
        <v>0.033</v>
      </c>
      <c r="F77" s="154"/>
      <c r="G77" s="154"/>
      <c r="H77" s="154"/>
      <c r="I77" s="154"/>
      <c r="J77" s="187"/>
      <c r="K77" s="144"/>
      <c r="L77" s="8"/>
      <c r="M77" s="8"/>
      <c r="N77" s="8"/>
      <c r="O77" s="8"/>
      <c r="P77" s="8"/>
      <c r="Q77" s="8"/>
      <c r="R77" s="8"/>
      <c r="S77" s="8"/>
      <c r="T77" s="25"/>
    </row>
    <row r="78" ht="13.75" customHeight="1">
      <c r="A78" s="23"/>
      <c r="B78" s="156"/>
      <c r="C78" s="157"/>
      <c r="D78" s="157"/>
      <c r="E78" s="188"/>
      <c r="F78" s="157"/>
      <c r="G78" s="157"/>
      <c r="H78" s="157"/>
      <c r="I78" s="157"/>
      <c r="J78" s="157"/>
      <c r="K78" s="8"/>
      <c r="L78" s="8"/>
      <c r="M78" s="8"/>
      <c r="N78" s="8"/>
      <c r="O78" s="8"/>
      <c r="P78" s="8"/>
      <c r="Q78" s="8"/>
      <c r="R78" s="8"/>
      <c r="S78" s="8"/>
      <c r="T78" s="25"/>
    </row>
    <row r="79" ht="13.15" customHeight="1">
      <c r="A79" s="23"/>
      <c r="B79" t="s" s="27">
        <v>82</v>
      </c>
      <c r="C79" s="28"/>
      <c r="D79" s="2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25"/>
    </row>
    <row r="80" ht="13.15" customHeight="1">
      <c r="A80" s="126"/>
      <c r="B80" t="s" s="145">
        <v>83</v>
      </c>
      <c r="C80" s="31"/>
      <c r="D80" s="189">
        <v>875000</v>
      </c>
      <c r="E80" s="144"/>
      <c r="F80" s="190"/>
      <c r="G80" s="190"/>
      <c r="H80" s="190"/>
      <c r="I80" s="190"/>
      <c r="J80" s="190"/>
      <c r="K80" s="190"/>
      <c r="L80" s="191"/>
      <c r="M80" s="8"/>
      <c r="N80" s="8"/>
      <c r="O80" s="8"/>
      <c r="P80" s="8"/>
      <c r="Q80" s="8"/>
      <c r="R80" s="8"/>
      <c r="S80" s="8"/>
      <c r="T80" s="25"/>
    </row>
    <row r="81" ht="13.15" customHeight="1">
      <c r="A81" s="126"/>
      <c r="B81" t="s" s="145">
        <v>84</v>
      </c>
      <c r="C81" s="31"/>
      <c r="D81" s="86">
        <v>250000</v>
      </c>
      <c r="E81" s="144"/>
      <c r="F81" s="190"/>
      <c r="G81" s="190"/>
      <c r="H81" s="190"/>
      <c r="I81" s="190"/>
      <c r="J81" s="190"/>
      <c r="K81" s="190"/>
      <c r="L81" s="8"/>
      <c r="M81" s="8"/>
      <c r="N81" s="8"/>
      <c r="O81" s="8"/>
      <c r="P81" s="8"/>
      <c r="Q81" s="8"/>
      <c r="R81" s="8"/>
      <c r="S81" s="8"/>
      <c r="T81" s="25"/>
    </row>
    <row r="82" ht="13.15" customHeight="1">
      <c r="A82" s="126"/>
      <c r="B82" t="s" s="145">
        <v>85</v>
      </c>
      <c r="C82" s="31"/>
      <c r="D82" s="86">
        <v>150000</v>
      </c>
      <c r="E82" s="144"/>
      <c r="F82" s="190"/>
      <c r="G82" s="190"/>
      <c r="H82" s="190"/>
      <c r="I82" s="190"/>
      <c r="J82" s="190"/>
      <c r="K82" s="190"/>
      <c r="L82" s="8"/>
      <c r="M82" s="8"/>
      <c r="N82" s="8"/>
      <c r="O82" s="8"/>
      <c r="P82" s="8"/>
      <c r="Q82" s="8"/>
      <c r="R82" s="8"/>
      <c r="S82" s="8"/>
      <c r="T82" s="25"/>
    </row>
    <row r="83" ht="13.15" customHeight="1">
      <c r="A83" s="126"/>
      <c r="B83" t="s" s="145">
        <v>86</v>
      </c>
      <c r="C83" s="31"/>
      <c r="D83" s="86">
        <v>1200000</v>
      </c>
      <c r="E83" s="144"/>
      <c r="F83" s="190"/>
      <c r="G83" s="190"/>
      <c r="H83" s="190"/>
      <c r="I83" s="190"/>
      <c r="J83" s="190"/>
      <c r="K83" s="190"/>
      <c r="L83" s="8"/>
      <c r="M83" s="8"/>
      <c r="N83" s="8"/>
      <c r="O83" s="8"/>
      <c r="P83" s="8"/>
      <c r="Q83" s="8"/>
      <c r="R83" s="8"/>
      <c r="S83" s="8"/>
      <c r="T83" s="25"/>
    </row>
    <row r="84" ht="13.15" customHeight="1">
      <c r="A84" s="126"/>
      <c r="B84" t="s" s="145">
        <v>31</v>
      </c>
      <c r="C84" s="31"/>
      <c r="D84" s="192">
        <f>360*3000</f>
        <v>1080000</v>
      </c>
      <c r="E84" s="144"/>
      <c r="F84" s="190"/>
      <c r="G84" s="190"/>
      <c r="H84" s="190"/>
      <c r="I84" s="190"/>
      <c r="J84" s="190"/>
      <c r="K84" s="190"/>
      <c r="L84" s="8"/>
      <c r="M84" s="8"/>
      <c r="N84" s="8"/>
      <c r="O84" s="8"/>
      <c r="P84" s="8"/>
      <c r="Q84" s="8"/>
      <c r="R84" s="8"/>
      <c r="S84" s="8"/>
      <c r="T84" s="25"/>
    </row>
    <row r="85" ht="13.15" customHeight="1">
      <c r="A85" s="126"/>
      <c r="B85" t="s" s="145">
        <v>87</v>
      </c>
      <c r="C85" s="31"/>
      <c r="D85" s="150">
        <v>0.1</v>
      </c>
      <c r="E85" s="193"/>
      <c r="F85" s="190"/>
      <c r="G85" s="190"/>
      <c r="H85" s="190"/>
      <c r="I85" s="190"/>
      <c r="J85" s="190"/>
      <c r="K85" s="190"/>
      <c r="L85" s="8"/>
      <c r="M85" s="8"/>
      <c r="N85" s="8"/>
      <c r="O85" s="8"/>
      <c r="P85" s="8"/>
      <c r="Q85" s="8"/>
      <c r="R85" s="8"/>
      <c r="S85" s="8"/>
      <c r="T85" s="25"/>
    </row>
    <row r="86" ht="13.15" customHeight="1">
      <c r="A86" s="126"/>
      <c r="B86" t="s" s="142">
        <v>88</v>
      </c>
      <c r="C86" s="31"/>
      <c r="D86" s="194">
        <f>SUM(D80:D83)+(D84*(1+D85))</f>
        <v>3663000</v>
      </c>
      <c r="E86" s="193"/>
      <c r="F86" s="190"/>
      <c r="G86" s="190"/>
      <c r="H86" s="190"/>
      <c r="I86" s="190"/>
      <c r="J86" s="190"/>
      <c r="K86" s="190"/>
      <c r="L86" s="8"/>
      <c r="M86" s="8"/>
      <c r="N86" s="8"/>
      <c r="O86" s="8"/>
      <c r="P86" s="8"/>
      <c r="Q86" s="8"/>
      <c r="R86" s="8"/>
      <c r="S86" s="8"/>
      <c r="T86" s="25"/>
    </row>
    <row r="87" ht="13.15" customHeight="1">
      <c r="A87" s="126"/>
      <c r="B87" t="s" s="145">
        <v>89</v>
      </c>
      <c r="C87" s="31"/>
      <c r="D87" s="150">
        <v>0.03</v>
      </c>
      <c r="E87" s="144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25"/>
    </row>
    <row r="88" ht="13.15" customHeight="1">
      <c r="A88" s="126"/>
      <c r="B88" t="s" s="145">
        <v>90</v>
      </c>
      <c r="C88" s="31"/>
      <c r="D88" s="150">
        <v>0.06</v>
      </c>
      <c r="E88" s="144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25"/>
    </row>
    <row r="89" ht="13.15" customHeight="1">
      <c r="A89" s="126"/>
      <c r="B89" t="s" s="145">
        <v>91</v>
      </c>
      <c r="C89" s="31"/>
      <c r="D89" s="150">
        <v>0.02</v>
      </c>
      <c r="E89" s="144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25"/>
    </row>
    <row r="90" ht="13.15" customHeight="1">
      <c r="A90" s="126"/>
      <c r="B90" t="s" s="153">
        <v>92</v>
      </c>
      <c r="C90" s="154"/>
      <c r="D90" s="195">
        <v>0.015</v>
      </c>
      <c r="E90" s="196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25"/>
    </row>
    <row r="91" ht="13.75" customHeight="1">
      <c r="A91" s="23"/>
      <c r="B91" s="156"/>
      <c r="C91" s="157"/>
      <c r="D91" s="197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25"/>
    </row>
    <row r="92" ht="13.15" customHeight="1">
      <c r="A92" s="23"/>
      <c r="B92" t="s" s="27">
        <v>93</v>
      </c>
      <c r="C92" s="28"/>
      <c r="D92" s="2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25"/>
    </row>
    <row r="93" ht="13.15" customHeight="1">
      <c r="A93" s="126"/>
      <c r="B93" t="s" s="142">
        <v>88</v>
      </c>
      <c r="C93" s="31"/>
      <c r="D93" s="194">
        <v>3888000</v>
      </c>
      <c r="E93" s="144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25"/>
    </row>
    <row r="94" ht="13.15" customHeight="1">
      <c r="A94" s="126"/>
      <c r="B94" t="s" s="145">
        <v>94</v>
      </c>
      <c r="C94" s="31"/>
      <c r="D94" s="148">
        <v>0.2</v>
      </c>
      <c r="E94" s="144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25"/>
    </row>
    <row r="95" ht="13.15" customHeight="1">
      <c r="A95" s="126"/>
      <c r="B95" t="s" s="145">
        <v>95</v>
      </c>
      <c r="C95" s="31"/>
      <c r="D95" s="198">
        <f>D93*D94</f>
        <v>777600</v>
      </c>
      <c r="E95" s="144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25"/>
    </row>
    <row r="96" ht="13.15" customHeight="1">
      <c r="A96" s="126"/>
      <c r="B96" s="169"/>
      <c r="C96" s="31"/>
      <c r="D96" s="194"/>
      <c r="E96" s="144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25"/>
    </row>
    <row r="97" ht="13.15" customHeight="1">
      <c r="A97" s="126"/>
      <c r="B97" t="s" s="145">
        <v>96</v>
      </c>
      <c r="C97" s="31"/>
      <c r="D97" s="148"/>
      <c r="E97" s="144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25"/>
    </row>
    <row r="98" ht="13.15" customHeight="1">
      <c r="A98" s="126"/>
      <c r="B98" t="s" s="145">
        <v>97</v>
      </c>
      <c r="C98" s="31"/>
      <c r="D98" s="189">
        <f>D93-D95</f>
        <v>3110400</v>
      </c>
      <c r="E98" s="199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25"/>
    </row>
    <row r="99" ht="13.15" customHeight="1">
      <c r="A99" s="126"/>
      <c r="B99" t="s" s="145">
        <v>98</v>
      </c>
      <c r="C99" s="31"/>
      <c r="D99" s="150">
        <v>0.02</v>
      </c>
      <c r="E99" s="144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25"/>
    </row>
    <row r="100" ht="13.15" customHeight="1">
      <c r="A100" s="126"/>
      <c r="B100" t="s" s="145">
        <v>99</v>
      </c>
      <c r="C100" s="31"/>
      <c r="D100" s="194">
        <f>D98*D99/D103</f>
        <v>3110.4</v>
      </c>
      <c r="E100" s="144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25"/>
    </row>
    <row r="101" ht="13.15" customHeight="1">
      <c r="A101" s="126"/>
      <c r="B101" t="s" s="145">
        <v>100</v>
      </c>
      <c r="C101" s="31"/>
      <c r="D101" s="194">
        <f>D98*(1-D99)</f>
        <v>3048192</v>
      </c>
      <c r="E101" s="144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25"/>
    </row>
    <row r="102" ht="13.15" customHeight="1">
      <c r="A102" s="126"/>
      <c r="B102" t="s" s="145">
        <v>101</v>
      </c>
      <c r="C102" s="31"/>
      <c r="D102" s="150">
        <v>0.07000000000000001</v>
      </c>
      <c r="E102" s="144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25"/>
    </row>
    <row r="103" ht="13.15" customHeight="1">
      <c r="A103" s="126"/>
      <c r="B103" t="s" s="145">
        <v>102</v>
      </c>
      <c r="C103" s="31"/>
      <c r="D103" s="86">
        <v>20</v>
      </c>
      <c r="E103" s="144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25"/>
    </row>
    <row r="104" ht="13.15" customHeight="1">
      <c r="A104" s="126"/>
      <c r="B104" t="s" s="145">
        <v>103</v>
      </c>
      <c r="C104" s="31"/>
      <c r="D104" s="86">
        <v>12</v>
      </c>
      <c r="E104" s="144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25"/>
    </row>
    <row r="105" ht="13.15" customHeight="1">
      <c r="A105" s="126"/>
      <c r="B105" t="s" s="145">
        <v>104</v>
      </c>
      <c r="C105" s="31"/>
      <c r="D105" s="200">
        <v>45261</v>
      </c>
      <c r="E105" s="144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25"/>
    </row>
    <row r="106" ht="13.15" customHeight="1">
      <c r="A106" s="126"/>
      <c r="B106" t="s" s="145">
        <v>105</v>
      </c>
      <c r="C106" s="31"/>
      <c r="D106" s="86">
        <v>0</v>
      </c>
      <c r="E106" s="144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25"/>
    </row>
    <row r="107" ht="13.15" customHeight="1">
      <c r="A107" s="126"/>
      <c r="B107" s="169"/>
      <c r="C107" s="31"/>
      <c r="D107" s="86"/>
      <c r="E107" s="144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25"/>
    </row>
    <row r="108" ht="13.15" customHeight="1">
      <c r="A108" s="126"/>
      <c r="B108" t="s" s="142">
        <v>106</v>
      </c>
      <c r="C108" s="31"/>
      <c r="D108" s="86"/>
      <c r="E108" s="144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25"/>
    </row>
    <row r="109" ht="13.15" customHeight="1">
      <c r="A109" s="126"/>
      <c r="B109" t="s" s="145">
        <v>107</v>
      </c>
      <c r="C109" s="31"/>
      <c r="D109" s="189">
        <v>250000</v>
      </c>
      <c r="E109" s="144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25"/>
    </row>
    <row r="110" ht="13.15" customHeight="1">
      <c r="A110" s="126"/>
      <c r="B110" t="s" s="145">
        <v>108</v>
      </c>
      <c r="C110" s="31"/>
      <c r="D110" s="194">
        <f>D95</f>
        <v>777600</v>
      </c>
      <c r="E110" s="144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25"/>
    </row>
    <row r="111" ht="13.15" customHeight="1">
      <c r="A111" s="126"/>
      <c r="B111" t="s" s="201">
        <v>109</v>
      </c>
      <c r="C111" s="202"/>
      <c r="D111" s="203">
        <f>SUM(D109:D110)</f>
        <v>1027600</v>
      </c>
      <c r="E111" s="144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25"/>
    </row>
    <row r="112" ht="13.15" customHeight="1">
      <c r="A112" s="126"/>
      <c r="B112" t="s" s="153">
        <v>110</v>
      </c>
      <c r="C112" s="154"/>
      <c r="D112" s="204">
        <v>0.25</v>
      </c>
      <c r="E112" s="144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25"/>
    </row>
    <row r="113" ht="13" customHeight="1">
      <c r="A113" s="23"/>
      <c r="B113" s="157"/>
      <c r="C113" s="157"/>
      <c r="D113" s="157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25"/>
    </row>
    <row r="114" ht="13" customHeight="1">
      <c r="A114" s="205"/>
      <c r="B114" t="s" s="206">
        <v>111</v>
      </c>
      <c r="C114" s="207"/>
      <c r="D114" s="208">
        <f>MIN('Cash Flow'!F29:W29)</f>
        <v>229440.481673167</v>
      </c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10"/>
    </row>
  </sheetData>
  <mergeCells count="1">
    <mergeCell ref="G70:J70"/>
  </mergeCells>
  <pageMargins left="0.2" right="0.2" top="0" bottom="0.75" header="0.3" footer="0.3"/>
  <pageSetup firstPageNumber="1" fitToHeight="1" fitToWidth="1" scale="81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Y57"/>
  <sheetViews>
    <sheetView workbookViewId="0" showGridLines="0" defaultGridColor="1"/>
  </sheetViews>
  <sheetFormatPr defaultColWidth="9" defaultRowHeight="10.5" customHeight="1" outlineLevelRow="0" outlineLevelCol="0"/>
  <cols>
    <col min="1" max="1" width="2.75" style="211" customWidth="1"/>
    <col min="2" max="2" width="24.25" style="211" customWidth="1"/>
    <col min="3" max="3" hidden="1" width="9" style="211" customWidth="1"/>
    <col min="4" max="4" width="13.5" style="211" customWidth="1"/>
    <col min="5" max="7" width="11.75" style="211" customWidth="1"/>
    <col min="8" max="15" width="11.25" style="211" customWidth="1"/>
    <col min="16" max="17" width="13.75" style="211" customWidth="1"/>
    <col min="18" max="20" width="14" style="211" customWidth="1"/>
    <col min="21" max="21" width="9" style="211" customWidth="1"/>
    <col min="22" max="22" width="10.75" style="211" customWidth="1"/>
    <col min="23" max="25" width="9" style="211" customWidth="1"/>
    <col min="26" max="16384" width="9" style="211" customWidth="1"/>
  </cols>
  <sheetData>
    <row r="1" ht="13.15" customHeight="1">
      <c r="A1" s="19"/>
      <c r="B1" s="212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"/>
      <c r="W1" s="21"/>
      <c r="X1" s="21"/>
      <c r="Y1" s="22"/>
    </row>
    <row r="2" ht="13.15" customHeight="1">
      <c r="A2" s="23"/>
      <c r="B2" t="s" s="24">
        <v>112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8"/>
      <c r="W2" s="8"/>
      <c r="X2" s="8"/>
      <c r="Y2" s="25"/>
    </row>
    <row r="3" ht="14.25" customHeight="1">
      <c r="A3" s="23"/>
      <c r="B3" s="215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8"/>
      <c r="W3" s="8"/>
      <c r="X3" s="8"/>
      <c r="Y3" s="25"/>
    </row>
    <row r="4" ht="9" customHeight="1">
      <c r="A4" s="23"/>
      <c r="B4" s="8"/>
      <c r="C4" s="8"/>
      <c r="D4" s="21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25"/>
    </row>
    <row r="5" ht="13.5" customHeight="1">
      <c r="A5" s="23"/>
      <c r="B5" s="218"/>
      <c r="C5" s="219"/>
      <c r="D5" t="s" s="220">
        <v>29</v>
      </c>
      <c r="E5" s="221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8"/>
      <c r="V5" s="8"/>
      <c r="W5" s="8"/>
      <c r="X5" s="8"/>
      <c r="Y5" s="25"/>
    </row>
    <row r="6" ht="13.5" customHeight="1">
      <c r="A6" s="222"/>
      <c r="B6" s="223"/>
      <c r="C6" t="s" s="224">
        <v>113</v>
      </c>
      <c r="D6" t="s" s="225">
        <v>31</v>
      </c>
      <c r="E6" s="226">
        <v>45139</v>
      </c>
      <c r="F6" s="226">
        <v>45170</v>
      </c>
      <c r="G6" s="226">
        <v>45200</v>
      </c>
      <c r="H6" s="226">
        <v>45231</v>
      </c>
      <c r="I6" s="226">
        <v>45261</v>
      </c>
      <c r="J6" s="226">
        <v>45292</v>
      </c>
      <c r="K6" s="226">
        <v>45323</v>
      </c>
      <c r="L6" s="226">
        <v>45352</v>
      </c>
      <c r="M6" s="226">
        <v>45383</v>
      </c>
      <c r="N6" s="226">
        <v>45413</v>
      </c>
      <c r="O6" s="226">
        <v>45444</v>
      </c>
      <c r="P6" t="s" s="227">
        <v>114</v>
      </c>
      <c r="Q6" t="s" s="227">
        <v>73</v>
      </c>
      <c r="R6" t="s" s="227">
        <v>74</v>
      </c>
      <c r="S6" t="s" s="227">
        <v>75</v>
      </c>
      <c r="T6" t="s" s="228">
        <v>76</v>
      </c>
      <c r="U6" s="229"/>
      <c r="V6" s="8"/>
      <c r="W6" s="8"/>
      <c r="X6" s="8"/>
      <c r="Y6" s="25"/>
    </row>
    <row r="7" ht="13.5" customHeight="1">
      <c r="A7" s="23"/>
      <c r="B7" s="6"/>
      <c r="C7" s="230"/>
      <c r="D7" t="s" s="231">
        <v>115</v>
      </c>
      <c r="E7" t="s" s="231">
        <v>115</v>
      </c>
      <c r="F7" t="s" s="231">
        <v>115</v>
      </c>
      <c r="G7" t="s" s="231">
        <v>115</v>
      </c>
      <c r="H7" t="s" s="231">
        <v>115</v>
      </c>
      <c r="I7" t="s" s="231">
        <v>115</v>
      </c>
      <c r="J7" t="s" s="231">
        <v>115</v>
      </c>
      <c r="K7" t="s" s="231">
        <v>115</v>
      </c>
      <c r="L7" t="s" s="231">
        <v>115</v>
      </c>
      <c r="M7" t="s" s="231">
        <v>115</v>
      </c>
      <c r="N7" t="s" s="231">
        <v>115</v>
      </c>
      <c r="O7" t="s" s="231">
        <v>115</v>
      </c>
      <c r="P7" t="s" s="231">
        <v>115</v>
      </c>
      <c r="Q7" t="s" s="231">
        <v>115</v>
      </c>
      <c r="R7" t="s" s="231">
        <v>115</v>
      </c>
      <c r="S7" t="s" s="231">
        <v>115</v>
      </c>
      <c r="T7" t="s" s="231">
        <v>115</v>
      </c>
      <c r="U7" s="8"/>
      <c r="V7" s="8"/>
      <c r="W7" s="8"/>
      <c r="X7" s="8"/>
      <c r="Y7" s="25"/>
    </row>
    <row r="8" ht="13.15" customHeight="1">
      <c r="A8" s="222"/>
      <c r="B8" s="232"/>
      <c r="C8" s="233"/>
      <c r="D8" s="233"/>
      <c r="E8" s="233"/>
      <c r="F8" s="233"/>
      <c r="G8" s="233"/>
      <c r="H8" s="232"/>
      <c r="I8" s="232"/>
      <c r="J8" s="232"/>
      <c r="K8" s="232"/>
      <c r="L8" s="232"/>
      <c r="M8" s="232"/>
      <c r="N8" s="232"/>
      <c r="O8" s="232"/>
      <c r="P8" s="234"/>
      <c r="Q8" s="234"/>
      <c r="R8" s="234"/>
      <c r="S8" s="234"/>
      <c r="T8" s="234"/>
      <c r="U8" s="234"/>
      <c r="V8" s="8"/>
      <c r="W8" s="8"/>
      <c r="X8" s="8"/>
      <c r="Y8" s="25"/>
    </row>
    <row r="9" ht="13.15" customHeight="1">
      <c r="A9" s="222"/>
      <c r="B9" t="s" s="235">
        <v>116</v>
      </c>
      <c r="C9" t="s" s="236">
        <v>117</v>
      </c>
      <c r="D9" s="237">
        <f>'Notes A&amp;B - Revenue &amp; COGS'!E24</f>
        <v>0</v>
      </c>
      <c r="E9" s="237">
        <f>'Notes A&amp;B - Revenue &amp; COGS'!F24</f>
        <v>82852.529905101794</v>
      </c>
      <c r="F9" s="237">
        <f>'Notes A&amp;B - Revenue &amp; COGS'!G24</f>
        <v>85399.843905101807</v>
      </c>
      <c r="G9" s="237">
        <f>'Notes A&amp;B - Revenue &amp; COGS'!H24</f>
        <v>87947.157905101805</v>
      </c>
      <c r="H9" s="237">
        <f>'Notes A&amp;B - Revenue &amp; COGS'!I24</f>
        <v>90494.4719051018</v>
      </c>
      <c r="I9" s="237">
        <f>'Notes A&amp;B - Revenue &amp; COGS'!J24</f>
        <v>93041.7859051018</v>
      </c>
      <c r="J9" s="237">
        <f>'Notes A&amp;B - Revenue &amp; COGS'!K24</f>
        <v>97195.204223203895</v>
      </c>
      <c r="K9" s="237">
        <f>'Notes A&amp;B - Revenue &amp; COGS'!L24</f>
        <v>99742.5182232041</v>
      </c>
      <c r="L9" s="237">
        <f>'Notes A&amp;B - Revenue &amp; COGS'!M24</f>
        <v>102289.832223204</v>
      </c>
      <c r="M9" s="237">
        <f>'Notes A&amp;B - Revenue &amp; COGS'!N24</f>
        <v>104837.146223204</v>
      </c>
      <c r="N9" s="237">
        <f>'Notes A&amp;B - Revenue &amp; COGS'!O24</f>
        <v>107384.460223204</v>
      </c>
      <c r="O9" s="237">
        <f>'Notes A&amp;B - Revenue &amp; COGS'!P24</f>
        <v>109931.774223204</v>
      </c>
      <c r="P9" s="237">
        <f>SUM(D9:O9)</f>
        <v>1061116.72486473</v>
      </c>
      <c r="Q9" s="237">
        <f>'Notes A&amp;B - Revenue &amp; COGS'!R24</f>
        <v>1369407.77553201</v>
      </c>
      <c r="R9" s="237">
        <f>'Notes A&amp;B - Revenue &amp; COGS'!S24</f>
        <v>1418804.72400266</v>
      </c>
      <c r="S9" s="237">
        <f>'Notes A&amp;B - Revenue &amp; COGS'!T24</f>
        <v>1470950.31487951</v>
      </c>
      <c r="T9" s="237">
        <f>'Notes A&amp;B - Revenue &amp; COGS'!U24</f>
        <v>1526040.37728564</v>
      </c>
      <c r="U9" s="234"/>
      <c r="V9" s="8"/>
      <c r="W9" s="8"/>
      <c r="X9" s="8"/>
      <c r="Y9" s="25"/>
    </row>
    <row r="10" ht="13.15" customHeight="1">
      <c r="A10" s="222"/>
      <c r="B10" t="s" s="238">
        <v>118</v>
      </c>
      <c r="C10" s="239"/>
      <c r="D10" t="s" s="240">
        <f>_xlfn.IFERROR((D9-C9)/C9,"NM")</f>
        <v>119</v>
      </c>
      <c r="E10" t="s" s="240">
        <f>_xlfn.IFERROR((E9-D9)/D9,"NM")</f>
        <v>119</v>
      </c>
      <c r="F10" s="241">
        <f>_xlfn.IFERROR((F9-E9)/E9,"NM")</f>
        <v>0.0307451565198753</v>
      </c>
      <c r="G10" s="241">
        <f>_xlfn.IFERROR((G9-F9)/F9,"NM")</f>
        <v>0.029828087306935</v>
      </c>
      <c r="H10" s="241">
        <f>_xlfn.IFERROR((H9-G9)/G9,"NM")</f>
        <v>0.0289641423404341</v>
      </c>
      <c r="I10" s="241">
        <f>_xlfn.IFERROR((I9-H9)/H9,"NM")</f>
        <v>0.028148835463356</v>
      </c>
      <c r="J10" s="241">
        <f>_xlfn.IFERROR((J9-I9)/I9,"NM")</f>
        <v>0.0446403546288158</v>
      </c>
      <c r="K10" s="241">
        <f>_xlfn.IFERROR((K9-J9)/J9,"NM")</f>
        <v>0.0262082272511144</v>
      </c>
      <c r="L10" s="241">
        <f>_xlfn.IFERROR((L9-K9)/K9,"NM")</f>
        <v>0.025538898008365</v>
      </c>
      <c r="M10" s="241">
        <f>_xlfn.IFERROR((M9-L9)/L9,"NM")</f>
        <v>0.0249029052510476</v>
      </c>
      <c r="N10" s="241">
        <f>_xlfn.IFERROR((N9-M9)/M9,"NM")</f>
        <v>0.024297818967493</v>
      </c>
      <c r="O10" s="241">
        <f>_xlfn.IFERROR((O9-N9)/N9,"NM")</f>
        <v>0.0237214397195393</v>
      </c>
      <c r="P10" s="241"/>
      <c r="Q10" s="241">
        <f>(Q9-((P9/COUNTIF(D9:O9,"&gt;0"))*12))/((P9/COUNTIF(D9:O9,"&gt;0"))*12)</f>
        <v>0.182989987330909</v>
      </c>
      <c r="R10" s="241">
        <f>_xlfn.IFERROR((R9-Q9)/Q9,"NM")</f>
        <v>0.0360717598901171</v>
      </c>
      <c r="S10" s="241">
        <f>_xlfn.IFERROR((S9-R9)/R9,"NM")</f>
        <v>0.0367531838558724</v>
      </c>
      <c r="T10" s="241">
        <f>_xlfn.IFERROR((T9-S9)/S9,"NM")</f>
        <v>0.0374520212197939</v>
      </c>
      <c r="U10" s="234"/>
      <c r="V10" s="8"/>
      <c r="W10" s="8"/>
      <c r="X10" s="8"/>
      <c r="Y10" s="25"/>
    </row>
    <row r="11" ht="13.15" customHeight="1">
      <c r="A11" s="222"/>
      <c r="B11" s="232"/>
      <c r="C11" s="242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4"/>
      <c r="V11" s="8"/>
      <c r="W11" s="8"/>
      <c r="X11" s="8"/>
      <c r="Y11" s="25"/>
    </row>
    <row r="12" ht="13.15" customHeight="1">
      <c r="A12" s="222"/>
      <c r="B12" t="s" s="235">
        <v>120</v>
      </c>
      <c r="C12" t="s" s="236">
        <v>121</v>
      </c>
      <c r="D12" s="237">
        <f>'Notes A&amp;B - Revenue &amp; COGS'!E46+'Notes A&amp;B - Revenue &amp; COGS'!E39</f>
        <v>22620.9228295634</v>
      </c>
      <c r="E12" s="237">
        <f>'Notes A&amp;B - Revenue &amp; COGS'!F46+'Notes A&amp;B - Revenue &amp; COGS'!F39</f>
        <v>42035.0108823855</v>
      </c>
      <c r="F12" s="237">
        <f>'Notes A&amp;B - Revenue &amp; COGS'!G46+'Notes A&amp;B - Revenue &amp; COGS'!G39</f>
        <v>42664.9206373856</v>
      </c>
      <c r="G12" s="237">
        <f>'Notes A&amp;B - Revenue &amp; COGS'!H46+'Notes A&amp;B - Revenue &amp; COGS'!H39</f>
        <v>43294.8303923856</v>
      </c>
      <c r="H12" s="237">
        <f>'Notes A&amp;B - Revenue &amp; COGS'!I46+'Notes A&amp;B - Revenue &amp; COGS'!I39</f>
        <v>43924.7401473855</v>
      </c>
      <c r="I12" s="237">
        <f>'Notes A&amp;B - Revenue &amp; COGS'!J46+'Notes A&amp;B - Revenue &amp; COGS'!J39</f>
        <v>44554.6499023855</v>
      </c>
      <c r="J12" s="237">
        <f>'Notes A&amp;B - Revenue &amp; COGS'!K46+'Notes A&amp;B - Revenue &amp; COGS'!K39</f>
        <v>45438.8058900087</v>
      </c>
      <c r="K12" s="237">
        <f>'Notes A&amp;B - Revenue &amp; COGS'!L46+'Notes A&amp;B - Revenue &amp; COGS'!L39</f>
        <v>46068.7156450088</v>
      </c>
      <c r="L12" s="237">
        <f>'Notes A&amp;B - Revenue &amp; COGS'!M46+'Notes A&amp;B - Revenue &amp; COGS'!M39</f>
        <v>46698.6254000088</v>
      </c>
      <c r="M12" s="237">
        <f>'Notes A&amp;B - Revenue &amp; COGS'!N46+'Notes A&amp;B - Revenue &amp; COGS'!N39</f>
        <v>47328.5351550087</v>
      </c>
      <c r="N12" s="237">
        <f>'Notes A&amp;B - Revenue &amp; COGS'!O46+'Notes A&amp;B - Revenue &amp; COGS'!O39</f>
        <v>47958.4449100088</v>
      </c>
      <c r="O12" s="237">
        <f>'Notes A&amp;B - Revenue &amp; COGS'!P46+'Notes A&amp;B - Revenue &amp; COGS'!P39</f>
        <v>48588.3546650088</v>
      </c>
      <c r="P12" s="237">
        <f>SUM(D12:O12)</f>
        <v>521176.556456544</v>
      </c>
      <c r="Q12" s="237">
        <f>'Notes A&amp;B - Revenue &amp; COGS'!R46+'Notes A&amp;B - Revenue &amp; COGS'!R39</f>
        <v>610846.564652973</v>
      </c>
      <c r="R12" s="237">
        <f>'Notes A&amp;B - Revenue &amp; COGS'!S46+'Notes A&amp;B - Revenue &amp; COGS'!S39</f>
        <v>627861.821935381</v>
      </c>
      <c r="S12" s="237">
        <f>'Notes A&amp;B - Revenue &amp; COGS'!T46+'Notes A&amp;B - Revenue &amp; COGS'!T39</f>
        <v>645873.995399538</v>
      </c>
      <c r="T12" s="237">
        <f>'Notes A&amp;B - Revenue &amp; COGS'!U46+'Notes A&amp;B - Revenue &amp; COGS'!U39</f>
        <v>664951.845013052</v>
      </c>
      <c r="U12" s="234"/>
      <c r="V12" s="8"/>
      <c r="W12" s="8"/>
      <c r="X12" s="8"/>
      <c r="Y12" s="25"/>
    </row>
    <row r="13" ht="13.15" customHeight="1">
      <c r="A13" s="222"/>
      <c r="B13" s="232"/>
      <c r="C13" s="243"/>
      <c r="D13" s="243"/>
      <c r="E13" s="243"/>
      <c r="F13" s="243"/>
      <c r="G13" s="243"/>
      <c r="H13" s="232"/>
      <c r="I13" s="232"/>
      <c r="J13" s="232"/>
      <c r="K13" s="232"/>
      <c r="L13" s="232"/>
      <c r="M13" s="232"/>
      <c r="N13" s="232"/>
      <c r="O13" s="232"/>
      <c r="P13" s="234"/>
      <c r="Q13" s="234"/>
      <c r="R13" s="234"/>
      <c r="S13" s="234"/>
      <c r="T13" s="234"/>
      <c r="U13" s="234"/>
      <c r="V13" s="8"/>
      <c r="W13" s="8"/>
      <c r="X13" s="8"/>
      <c r="Y13" s="25"/>
    </row>
    <row r="14" ht="13.15" customHeight="1">
      <c r="A14" s="222"/>
      <c r="B14" t="s" s="244">
        <v>122</v>
      </c>
      <c r="C14" s="245"/>
      <c r="D14" s="245">
        <f>D9-D12</f>
        <v>-22620.9228295634</v>
      </c>
      <c r="E14" s="245">
        <f>E9-E12</f>
        <v>40817.5190227163</v>
      </c>
      <c r="F14" s="245">
        <f>F9-F12</f>
        <v>42734.9232677162</v>
      </c>
      <c r="G14" s="245">
        <f>G9-G12</f>
        <v>44652.3275127162</v>
      </c>
      <c r="H14" s="245">
        <f>H9-H12</f>
        <v>46569.7317577163</v>
      </c>
      <c r="I14" s="245">
        <f>I9-I12</f>
        <v>48487.1360027163</v>
      </c>
      <c r="J14" s="245">
        <f>J9-J12</f>
        <v>51756.3983331952</v>
      </c>
      <c r="K14" s="245">
        <f>K9-K12</f>
        <v>53673.8025781953</v>
      </c>
      <c r="L14" s="245">
        <f>L9-L12</f>
        <v>55591.2068231952</v>
      </c>
      <c r="M14" s="245">
        <f>M9-M12</f>
        <v>57508.6110681953</v>
      </c>
      <c r="N14" s="245">
        <f>N9-N12</f>
        <v>59426.0153131952</v>
      </c>
      <c r="O14" s="245">
        <f>O9-O12</f>
        <v>61343.4195581952</v>
      </c>
      <c r="P14" s="245">
        <f>P9-P12</f>
        <v>539940.1684081859</v>
      </c>
      <c r="Q14" s="245">
        <f>Q9-Q12</f>
        <v>758561.210879037</v>
      </c>
      <c r="R14" s="245">
        <f>R9-R12</f>
        <v>790942.902067279</v>
      </c>
      <c r="S14" s="245">
        <f>S9-S12</f>
        <v>825076.319479972</v>
      </c>
      <c r="T14" s="245">
        <f>T9-T12</f>
        <v>861088.532272588</v>
      </c>
      <c r="U14" s="234"/>
      <c r="V14" s="8"/>
      <c r="W14" s="8"/>
      <c r="X14" s="8"/>
      <c r="Y14" s="25"/>
    </row>
    <row r="15" ht="13.15" customHeight="1">
      <c r="A15" s="222"/>
      <c r="B15" t="s" s="246">
        <v>123</v>
      </c>
      <c r="C15" s="247"/>
      <c r="D15" t="s" s="248">
        <f>_xlfn.IFERROR(D14/D9,"NA")</f>
        <v>124</v>
      </c>
      <c r="E15" s="249">
        <f>_xlfn.IFERROR(E14/E9,"NA")</f>
        <v>0.492652657311348</v>
      </c>
      <c r="F15" s="249">
        <f>_xlfn.IFERROR(F14/F9,"NA")</f>
        <v>0.500409852214767</v>
      </c>
      <c r="G15" s="249">
        <f>_xlfn.IFERROR(G14/G9,"NA")</f>
        <v>0.507717686123498</v>
      </c>
      <c r="H15" s="249">
        <f>_xlfn.IFERROR(H14/H9,"NA")</f>
        <v>0.514614106003649</v>
      </c>
      <c r="I15" s="249">
        <f>_xlfn.IFERROR(I14/I9,"NA")</f>
        <v>0.521132903147096</v>
      </c>
      <c r="J15" s="249">
        <f>_xlfn.IFERROR(J14/J9,"NA")</f>
        <v>0.532499507016202</v>
      </c>
      <c r="K15" s="249">
        <f>_xlfn.IFERROR(K14/K9,"NA")</f>
        <v>0.538123595978236</v>
      </c>
      <c r="L15" s="249">
        <f>_xlfn.IFERROR(L14/L9,"NA")</f>
        <v>0.543467572631179</v>
      </c>
      <c r="M15" s="249">
        <f>_xlfn.IFERROR(M14/M9,"NA")</f>
        <v>0.548551855329564</v>
      </c>
      <c r="N15" s="249">
        <f>_xlfn.IFERROR(N14/N9,"NA")</f>
        <v>0.5533949250168529</v>
      </c>
      <c r="O15" s="249">
        <f>_xlfn.IFERROR(O14/O9,"NA")</f>
        <v>0.558013549691687</v>
      </c>
      <c r="P15" s="249">
        <f>_xlfn.IFERROR(P14/P9,"NA")</f>
        <v>0.5088414457674461</v>
      </c>
      <c r="Q15" s="249">
        <f>_xlfn.IFERROR(Q14/Q9,"NA")</f>
        <v>0.553933769351016</v>
      </c>
      <c r="R15" s="249">
        <f>_xlfn.IFERROR(R14/R9,"NA")</f>
        <v>0.557471291634772</v>
      </c>
      <c r="S15" s="249">
        <f>_xlfn.IFERROR(S14/S9,"NA")</f>
        <v>0.560913792351686</v>
      </c>
      <c r="T15" s="249">
        <f>_xlfn.IFERROR(T14/T9,"NA")</f>
        <v>0.564263269235511</v>
      </c>
      <c r="U15" s="234"/>
      <c r="V15" s="8"/>
      <c r="W15" s="8"/>
      <c r="X15" s="8"/>
      <c r="Y15" s="25"/>
    </row>
    <row r="16" ht="13.15" customHeight="1">
      <c r="A16" s="222"/>
      <c r="B16" s="232"/>
      <c r="C16" s="243"/>
      <c r="D16" s="243"/>
      <c r="E16" s="243"/>
      <c r="F16" s="243"/>
      <c r="G16" s="243"/>
      <c r="H16" s="232"/>
      <c r="I16" s="232"/>
      <c r="J16" s="232"/>
      <c r="K16" s="232"/>
      <c r="L16" s="232"/>
      <c r="M16" s="232"/>
      <c r="N16" s="232"/>
      <c r="O16" s="232"/>
      <c r="P16" s="234"/>
      <c r="Q16" s="234"/>
      <c r="R16" s="234"/>
      <c r="S16" s="234"/>
      <c r="T16" s="234"/>
      <c r="U16" s="234"/>
      <c r="V16" s="8"/>
      <c r="W16" s="8"/>
      <c r="X16" s="8"/>
      <c r="Y16" s="25"/>
    </row>
    <row r="17" ht="13.15" customHeight="1">
      <c r="A17" s="222"/>
      <c r="B17" t="s" s="235">
        <v>125</v>
      </c>
      <c r="C17" t="s" s="236">
        <v>126</v>
      </c>
      <c r="D17" s="237">
        <f>'Note C - SG&amp;A'!D27</f>
        <v>25000</v>
      </c>
      <c r="E17" s="237">
        <f>'Note C - SG&amp;A'!E27</f>
        <v>41292.6040624194</v>
      </c>
      <c r="F17" s="237">
        <f>'Note C - SG&amp;A'!F27</f>
        <v>18845.3540624194</v>
      </c>
      <c r="G17" s="237">
        <f>'Note C - SG&amp;A'!G27</f>
        <v>18898.1040624194</v>
      </c>
      <c r="H17" s="237">
        <f>'Note C - SG&amp;A'!H27</f>
        <v>18950.8540624194</v>
      </c>
      <c r="I17" s="237">
        <f>'Note C - SG&amp;A'!I27</f>
        <v>19003.6040624194</v>
      </c>
      <c r="J17" s="237">
        <f>'Note C - SG&amp;A'!J27</f>
        <v>19083.0364770011</v>
      </c>
      <c r="K17" s="237">
        <f>'Note C - SG&amp;A'!K27</f>
        <v>19135.7864770011</v>
      </c>
      <c r="L17" s="237">
        <f>'Note C - SG&amp;A'!L27</f>
        <v>19188.5364770011</v>
      </c>
      <c r="M17" s="237">
        <f>'Note C - SG&amp;A'!M27</f>
        <v>19241.2864770011</v>
      </c>
      <c r="N17" s="237">
        <f>'Note C - SG&amp;A'!N27</f>
        <v>19294.0364770011</v>
      </c>
      <c r="O17" s="237">
        <f>'Note C - SG&amp;A'!O27</f>
        <v>19346.7864770011</v>
      </c>
      <c r="P17" s="237">
        <f>SUM(D17:O17)</f>
        <v>257279.989174104</v>
      </c>
      <c r="Q17" s="237">
        <f>'Note C - SG&amp;A'!Q27</f>
        <v>242757.670478494</v>
      </c>
      <c r="R17" s="237">
        <f>'Note C - SG&amp;A'!R27</f>
        <v>254214.164688064</v>
      </c>
      <c r="S17" s="237">
        <f>'Note C - SG&amp;A'!S27</f>
        <v>266687.813485825</v>
      </c>
      <c r="T17" s="237">
        <f>'Note C - SG&amp;A'!T27</f>
        <v>280273.445567381</v>
      </c>
      <c r="U17" s="234"/>
      <c r="V17" s="8"/>
      <c r="W17" s="8"/>
      <c r="X17" s="8"/>
      <c r="Y17" s="25"/>
    </row>
    <row r="18" ht="13.15" customHeight="1">
      <c r="A18" s="222"/>
      <c r="B18" t="s" s="246">
        <v>127</v>
      </c>
      <c r="C18" s="250"/>
      <c r="D18" s="251">
        <f>_xlfn.IFERROR(D17/D9,0)</f>
        <v>0</v>
      </c>
      <c r="E18" s="251">
        <f>_xlfn.IFERROR(E17/E9,0)</f>
        <v>0.498386761511271</v>
      </c>
      <c r="F18" s="251">
        <f>_xlfn.IFERROR(F17/F9,0)</f>
        <v>0.220671996583047</v>
      </c>
      <c r="G18" s="251">
        <f>_xlfn.IFERROR(G17/G9,0)</f>
        <v>0.214880213443749</v>
      </c>
      <c r="H18" s="251">
        <f>_xlfn.IFERROR(H17/H9,0)</f>
        <v>0.209414494205706</v>
      </c>
      <c r="I18" s="251">
        <f>_xlfn.IFERROR(I17/I9,0)</f>
        <v>0.20424805776839</v>
      </c>
      <c r="J18" s="251">
        <f>_xlfn.IFERROR(J17/J9,0)</f>
        <v>0.196337222906368</v>
      </c>
      <c r="K18" s="251">
        <f>_xlfn.IFERROR(K17/K9,0)</f>
        <v>0.191851848317876</v>
      </c>
      <c r="L18" s="251">
        <f>_xlfn.IFERROR(L17/L9,0)</f>
        <v>0.18758987144617</v>
      </c>
      <c r="M18" s="251">
        <f>_xlfn.IFERROR(M17/M9,0)</f>
        <v>0.183535008059408</v>
      </c>
      <c r="N18" s="251">
        <f>_xlfn.IFERROR(N17/N9,0)</f>
        <v>0.179672519067447</v>
      </c>
      <c r="O18" s="251">
        <f>_xlfn.IFERROR(O17/O9,0)</f>
        <v>0.175989031503482</v>
      </c>
      <c r="P18" s="251">
        <f>_xlfn.IFERROR(P17/P9,0)</f>
        <v>0.242461534292471</v>
      </c>
      <c r="Q18" s="251">
        <f>_xlfn.IFERROR(Q17/Q9,0)</f>
        <v>0.177272011168612</v>
      </c>
      <c r="R18" s="251">
        <f>_xlfn.IFERROR(R17/R9,0)</f>
        <v>0.179174878957893</v>
      </c>
      <c r="S18" s="251">
        <f>_xlfn.IFERROR(S17/S9,0)</f>
        <v>0.181303073793944</v>
      </c>
      <c r="T18" s="251">
        <f>_xlfn.IFERROR(T17/T9,0)</f>
        <v>0.183660570021025</v>
      </c>
      <c r="U18" s="234"/>
      <c r="V18" s="8"/>
      <c r="W18" s="8"/>
      <c r="X18" s="8"/>
      <c r="Y18" s="25"/>
    </row>
    <row r="19" ht="13.15" customHeight="1">
      <c r="A19" s="222"/>
      <c r="B19" s="232"/>
      <c r="C19" s="243"/>
      <c r="D19" s="243"/>
      <c r="E19" s="243"/>
      <c r="F19" s="243"/>
      <c r="G19" s="243"/>
      <c r="H19" s="232"/>
      <c r="I19" s="232"/>
      <c r="J19" s="232"/>
      <c r="K19" s="232"/>
      <c r="L19" s="232"/>
      <c r="M19" s="232"/>
      <c r="N19" s="232"/>
      <c r="O19" s="232"/>
      <c r="P19" s="234"/>
      <c r="Q19" s="234"/>
      <c r="R19" s="234"/>
      <c r="S19" s="234"/>
      <c r="T19" s="234"/>
      <c r="U19" s="234"/>
      <c r="V19" s="8"/>
      <c r="W19" s="8"/>
      <c r="X19" s="8"/>
      <c r="Y19" s="25"/>
    </row>
    <row r="20" ht="13.15" customHeight="1">
      <c r="A20" s="222"/>
      <c r="B20" t="s" s="244">
        <v>128</v>
      </c>
      <c r="C20" s="245"/>
      <c r="D20" s="245">
        <f>D14-D17</f>
        <v>-47620.9228295634</v>
      </c>
      <c r="E20" s="245">
        <f>E14-E17</f>
        <v>-475.0850397031</v>
      </c>
      <c r="F20" s="245">
        <f>F14-F17</f>
        <v>23889.5692052968</v>
      </c>
      <c r="G20" s="245">
        <f>G14-G17</f>
        <v>25754.2234502968</v>
      </c>
      <c r="H20" s="245">
        <f>H14-H17</f>
        <v>27618.8776952969</v>
      </c>
      <c r="I20" s="245">
        <f>I14-I17</f>
        <v>29483.5319402969</v>
      </c>
      <c r="J20" s="245">
        <f>J14-J17</f>
        <v>32673.3618561941</v>
      </c>
      <c r="K20" s="245">
        <f>K14-K17</f>
        <v>34538.0161011942</v>
      </c>
      <c r="L20" s="245">
        <f>L14-L17</f>
        <v>36402.6703461941</v>
      </c>
      <c r="M20" s="245">
        <f>M14-M17</f>
        <v>38267.3245911942</v>
      </c>
      <c r="N20" s="245">
        <f>N14-N17</f>
        <v>40131.9788361941</v>
      </c>
      <c r="O20" s="245">
        <f>O14-O17</f>
        <v>41996.6330811941</v>
      </c>
      <c r="P20" s="245">
        <f>P14-P17</f>
        <v>282660.179234082</v>
      </c>
      <c r="Q20" s="245">
        <f>Q14-Q17</f>
        <v>515803.540400543</v>
      </c>
      <c r="R20" s="245">
        <f>R14-R17</f>
        <v>536728.737379215</v>
      </c>
      <c r="S20" s="245">
        <f>S14-S17</f>
        <v>558388.505994147</v>
      </c>
      <c r="T20" s="245">
        <f>T14-T17</f>
        <v>580815.086705207</v>
      </c>
      <c r="U20" s="234"/>
      <c r="V20" s="8"/>
      <c r="W20" s="8"/>
      <c r="X20" s="8"/>
      <c r="Y20" s="25"/>
    </row>
    <row r="21" ht="13.15" customHeight="1">
      <c r="A21" s="222"/>
      <c r="B21" t="s" s="246">
        <v>123</v>
      </c>
      <c r="C21" s="247"/>
      <c r="D21" s="251">
        <f>_xlfn.IFERROR(D20/D9,0)</f>
        <v>0</v>
      </c>
      <c r="E21" s="251">
        <f>_xlfn.IFERROR(E20/E9,0)</f>
        <v>-0.00573410419992312</v>
      </c>
      <c r="F21" s="251">
        <f>_xlfn.IFERROR(F20/F9,0)</f>
        <v>0.27973785563172</v>
      </c>
      <c r="G21" s="251">
        <f>_xlfn.IFERROR(G20/G9,0)</f>
        <v>0.292837472679749</v>
      </c>
      <c r="H21" s="251">
        <f>_xlfn.IFERROR(H20/H9,0)</f>
        <v>0.305199611797943</v>
      </c>
      <c r="I21" s="251">
        <f>_xlfn.IFERROR(I20/I9,0)</f>
        <v>0.316884845378707</v>
      </c>
      <c r="J21" s="251">
        <f>_xlfn.IFERROR(J20/J9,0)</f>
        <v>0.336162284109835</v>
      </c>
      <c r="K21" s="251">
        <f>_xlfn.IFERROR(K20/K9,0)</f>
        <v>0.34627174766036</v>
      </c>
      <c r="L21" s="251">
        <f>_xlfn.IFERROR(L20/L9,0)</f>
        <v>0.355877701185009</v>
      </c>
      <c r="M21" s="251">
        <f>_xlfn.IFERROR(M20/M9,0)</f>
        <v>0.365016847270155</v>
      </c>
      <c r="N21" s="251">
        <f>_xlfn.IFERROR(N20/N9,0)</f>
        <v>0.373722405949406</v>
      </c>
      <c r="O21" s="251">
        <f>_xlfn.IFERROR(O20/O9,0)</f>
        <v>0.382024518188206</v>
      </c>
      <c r="P21" s="251">
        <f>_xlfn.IFERROR(P20/P9,0)</f>
        <v>0.266379911474975</v>
      </c>
      <c r="Q21" s="251">
        <f>_xlfn.IFERROR(Q20/Q9,0)</f>
        <v>0.376661758182405</v>
      </c>
      <c r="R21" s="251">
        <f>_xlfn.IFERROR(R20/R9,0)</f>
        <v>0.378296412676879</v>
      </c>
      <c r="S21" s="251">
        <f>_xlfn.IFERROR(S20/S9,0)</f>
        <v>0.379610718557742</v>
      </c>
      <c r="T21" s="251">
        <f>_xlfn.IFERROR(T20/T9,0)</f>
        <v>0.380602699214486</v>
      </c>
      <c r="U21" s="234"/>
      <c r="V21" s="8"/>
      <c r="W21" s="8"/>
      <c r="X21" s="8"/>
      <c r="Y21" s="25"/>
    </row>
    <row r="22" ht="13.15" customHeight="1">
      <c r="A22" s="222"/>
      <c r="B22" s="232"/>
      <c r="C22" s="243"/>
      <c r="D22" s="243"/>
      <c r="E22" s="243"/>
      <c r="F22" s="243"/>
      <c r="G22" s="243"/>
      <c r="H22" s="232"/>
      <c r="I22" s="232"/>
      <c r="J22" s="232"/>
      <c r="K22" s="232"/>
      <c r="L22" s="232"/>
      <c r="M22" s="232"/>
      <c r="N22" s="232"/>
      <c r="O22" s="232"/>
      <c r="P22" s="234"/>
      <c r="Q22" s="234"/>
      <c r="R22" s="234"/>
      <c r="S22" s="234"/>
      <c r="T22" s="234"/>
      <c r="U22" s="234"/>
      <c r="V22" s="8"/>
      <c r="W22" s="8"/>
      <c r="X22" s="8"/>
      <c r="Y22" s="25"/>
    </row>
    <row r="23" ht="13.15" customHeight="1">
      <c r="A23" s="222"/>
      <c r="B23" t="s" s="235">
        <v>129</v>
      </c>
      <c r="C23" t="s" s="236">
        <v>130</v>
      </c>
      <c r="D23" s="237">
        <f>'Note D - PPE'!D43</f>
        <v>18002.380952381</v>
      </c>
      <c r="E23" s="237">
        <f>'Note D - PPE'!E43</f>
        <v>18031.9711416328</v>
      </c>
      <c r="F23" s="237">
        <f>'Note D - PPE'!F43</f>
        <v>18032.8808966328</v>
      </c>
      <c r="G23" s="237">
        <f>'Note D - PPE'!G43</f>
        <v>18033.7906516328</v>
      </c>
      <c r="H23" s="237">
        <f>'Note D - PPE'!H43</f>
        <v>18034.7004066328</v>
      </c>
      <c r="I23" s="237">
        <f>'Note D - PPE'!I43</f>
        <v>18035.6101616328</v>
      </c>
      <c r="J23" s="237">
        <f>'Note D - PPE'!J43</f>
        <v>18037.0935253179</v>
      </c>
      <c r="K23" s="237">
        <f>'Note D - PPE'!K43</f>
        <v>18038.0032803179</v>
      </c>
      <c r="L23" s="237">
        <f>'Note D - PPE'!L43</f>
        <v>18038.9130353179</v>
      </c>
      <c r="M23" s="237">
        <f>'Note D - PPE'!M43</f>
        <v>18039.8227903179</v>
      </c>
      <c r="N23" s="237">
        <f>'Note D - PPE'!N43</f>
        <v>18040.7325453179</v>
      </c>
      <c r="O23" s="237">
        <f>'Note D - PPE'!O43</f>
        <v>18041.6423003179</v>
      </c>
      <c r="P23" s="237">
        <f>SUM(D23:O23)</f>
        <v>216407.541687452</v>
      </c>
      <c r="Q23" s="237">
        <f>'Note D - PPE'!Q43</f>
        <v>227766.352361703</v>
      </c>
      <c r="R23" s="237">
        <f>'Note D - PPE'!R43</f>
        <v>228189.754777166</v>
      </c>
      <c r="S23" s="237">
        <f>'Note D - PPE'!S43</f>
        <v>228636.716984681</v>
      </c>
      <c r="T23" s="237">
        <f>'Note D - PPE'!T43</f>
        <v>229108.917519591</v>
      </c>
      <c r="U23" s="234"/>
      <c r="V23" s="252"/>
      <c r="W23" s="8"/>
      <c r="X23" s="8"/>
      <c r="Y23" s="25"/>
    </row>
    <row r="24" ht="13.15" customHeight="1">
      <c r="A24" s="222"/>
      <c r="B24" s="232"/>
      <c r="C24" s="243"/>
      <c r="D24" s="243"/>
      <c r="E24" s="243"/>
      <c r="F24" s="243"/>
      <c r="G24" s="243"/>
      <c r="H24" s="232"/>
      <c r="I24" s="232"/>
      <c r="J24" s="232"/>
      <c r="K24" s="232"/>
      <c r="L24" s="232"/>
      <c r="M24" s="232"/>
      <c r="N24" s="232"/>
      <c r="O24" s="232"/>
      <c r="P24" s="234"/>
      <c r="Q24" s="234"/>
      <c r="R24" s="234"/>
      <c r="S24" s="234"/>
      <c r="T24" s="234"/>
      <c r="U24" s="234"/>
      <c r="V24" s="8"/>
      <c r="W24" s="8"/>
      <c r="X24" s="8"/>
      <c r="Y24" s="25"/>
    </row>
    <row r="25" ht="13.15" customHeight="1">
      <c r="A25" s="222"/>
      <c r="B25" t="s" s="244">
        <v>131</v>
      </c>
      <c r="C25" s="245"/>
      <c r="D25" s="245">
        <f>D20+D23</f>
        <v>-29618.5418771824</v>
      </c>
      <c r="E25" s="245">
        <f>E20+E23</f>
        <v>17556.8861019297</v>
      </c>
      <c r="F25" s="245">
        <f>F20+F23</f>
        <v>41922.4501019296</v>
      </c>
      <c r="G25" s="245">
        <f>G20+G23</f>
        <v>43788.0141019296</v>
      </c>
      <c r="H25" s="245">
        <f>H20+H23</f>
        <v>45653.5781019297</v>
      </c>
      <c r="I25" s="245">
        <f>I20+I23</f>
        <v>47519.1421019297</v>
      </c>
      <c r="J25" s="245">
        <f>J20+J23</f>
        <v>50710.455381512</v>
      </c>
      <c r="K25" s="245">
        <f>K20+K23</f>
        <v>52576.0193815121</v>
      </c>
      <c r="L25" s="245">
        <f>L20+L23</f>
        <v>54441.583381512</v>
      </c>
      <c r="M25" s="245">
        <f>M20+M23</f>
        <v>56307.1473815121</v>
      </c>
      <c r="N25" s="245">
        <f>N20+N23</f>
        <v>58172.711381512</v>
      </c>
      <c r="O25" s="245">
        <f>O20+O23</f>
        <v>60038.275381512</v>
      </c>
      <c r="P25" s="245">
        <f>P20+P23</f>
        <v>499067.720921534</v>
      </c>
      <c r="Q25" s="245">
        <f>Q20+Q23</f>
        <v>743569.892762246</v>
      </c>
      <c r="R25" s="245">
        <f>R20+R23</f>
        <v>764918.492156381</v>
      </c>
      <c r="S25" s="245">
        <f>S20+S23</f>
        <v>787025.222978828</v>
      </c>
      <c r="T25" s="245">
        <f>T20+T23</f>
        <v>809924.0042247979</v>
      </c>
      <c r="U25" s="234"/>
      <c r="V25" s="8"/>
      <c r="W25" s="8"/>
      <c r="X25" s="8"/>
      <c r="Y25" s="25"/>
    </row>
    <row r="26" ht="13.15" customHeight="1">
      <c r="A26" s="222"/>
      <c r="B26" t="s" s="246">
        <v>123</v>
      </c>
      <c r="C26" s="247"/>
      <c r="D26" t="s" s="248">
        <f>_xlfn.IFERROR(D25/D9,"NA")</f>
        <v>124</v>
      </c>
      <c r="E26" s="249">
        <f>_xlfn.IFERROR(E25/E9,"NA")</f>
        <v>0.211905250473813</v>
      </c>
      <c r="F26" s="249">
        <f>_xlfn.IFERROR(F25/F9,"NA")</f>
        <v>0.490896097521147</v>
      </c>
      <c r="G26" s="249">
        <f>_xlfn.IFERROR(G25/G9,"NA")</f>
        <v>0.497890041531285</v>
      </c>
      <c r="H26" s="249">
        <f>_xlfn.IFERROR(H25/H9,"NA")</f>
        <v>0.504490242783061</v>
      </c>
      <c r="I26" s="249">
        <f>_xlfn.IFERROR(I25/I9,"NA")</f>
        <v>0.510729041147135</v>
      </c>
      <c r="J26" s="249">
        <f>_xlfn.IFERROR(J25/J9,"NA")</f>
        <v>0.521738246107884</v>
      </c>
      <c r="K26" s="249">
        <f>_xlfn.IFERROR(K25/K9,"NA")</f>
        <v>0.527117425127139</v>
      </c>
      <c r="L26" s="249">
        <f>_xlfn.IFERROR(L25/L9,"NA")</f>
        <v>0.532228689775504</v>
      </c>
      <c r="M26" s="249">
        <f>_xlfn.IFERROR(M25/M9,"NA")</f>
        <v>0.537091569257629</v>
      </c>
      <c r="N26" s="249">
        <f>_xlfn.IFERROR(N25/N9,"NA")</f>
        <v>0.541723739734754</v>
      </c>
      <c r="O26" s="249">
        <f>_xlfn.IFERROR(O25/O9,"NA")</f>
        <v>0.54614123901622</v>
      </c>
      <c r="P26" s="249">
        <f>_xlfn.IFERROR(P25/P9,"NA")</f>
        <v>0.470323112648285</v>
      </c>
      <c r="Q26" s="249">
        <f>_xlfn.IFERROR(Q25/Q9,"NA")</f>
        <v>0.542986469076657</v>
      </c>
      <c r="R26" s="249">
        <f>_xlfn.IFERROR(R25/R9,"NA")</f>
        <v>0.539128802727997</v>
      </c>
      <c r="S26" s="249">
        <f>_xlfn.IFERROR(S25/S9,"NA")</f>
        <v>0.535045415890404</v>
      </c>
      <c r="T26" s="249">
        <f>_xlfn.IFERROR(T25/T9,"NA")</f>
        <v>0.530735632084261</v>
      </c>
      <c r="U26" s="234"/>
      <c r="V26" s="8"/>
      <c r="W26" s="8"/>
      <c r="X26" s="8"/>
      <c r="Y26" s="25"/>
    </row>
    <row r="27" ht="13.15" customHeight="1">
      <c r="A27" s="222"/>
      <c r="B27" s="232"/>
      <c r="C27" s="253"/>
      <c r="D27" s="253"/>
      <c r="E27" s="253"/>
      <c r="F27" s="253"/>
      <c r="G27" s="253"/>
      <c r="H27" s="232"/>
      <c r="I27" s="232"/>
      <c r="J27" s="232"/>
      <c r="K27" s="232"/>
      <c r="L27" s="232"/>
      <c r="M27" s="232"/>
      <c r="N27" s="232"/>
      <c r="O27" s="232"/>
      <c r="P27" s="234"/>
      <c r="Q27" s="234"/>
      <c r="R27" s="234"/>
      <c r="S27" s="234"/>
      <c r="T27" s="234"/>
      <c r="U27" s="234"/>
      <c r="V27" s="8"/>
      <c r="W27" s="8"/>
      <c r="X27" s="8"/>
      <c r="Y27" s="25"/>
    </row>
    <row r="28" ht="13.15" customHeight="1">
      <c r="A28" s="222"/>
      <c r="B28" t="s" s="235">
        <v>132</v>
      </c>
      <c r="C28" t="s" s="254">
        <v>133</v>
      </c>
      <c r="D28" s="237">
        <f>SUM('Note E - Loan Amortization'!I20:I25)</f>
        <v>108337.465069494</v>
      </c>
      <c r="E28" s="237">
        <f>'Note E - Loan Amortization'!I21</f>
        <v>18109.1697611213</v>
      </c>
      <c r="F28" s="237">
        <f>'Note E - Loan Amortization'!I22</f>
        <v>18074.1363458492</v>
      </c>
      <c r="G28" s="237">
        <f>'Note E - Loan Amortization'!I23</f>
        <v>18038.8985689879</v>
      </c>
      <c r="H28" s="237">
        <f>'Note E - Loan Amortization'!I24</f>
        <v>18003.4552384283</v>
      </c>
      <c r="I28" s="237">
        <f>'Note E - Loan Amortization'!I25</f>
        <v>17967.8051551072</v>
      </c>
      <c r="J28" s="237">
        <f>'Note E - Loan Amortization'!I26</f>
        <v>17931.9471129666</v>
      </c>
      <c r="K28" s="237">
        <f>'Note E - Loan Amortization'!I27</f>
        <v>17895.8798989136</v>
      </c>
      <c r="L28" s="237">
        <f>'Note E - Loan Amortization'!I28</f>
        <v>17859.6022927785</v>
      </c>
      <c r="M28" s="237">
        <f>'Note E - Loan Amortization'!I29</f>
        <v>17823.1130672744</v>
      </c>
      <c r="N28" s="237">
        <f>'Note E - Loan Amortization'!I30</f>
        <v>17786.4109879548</v>
      </c>
      <c r="O28" s="237">
        <f>'Note E - Loan Amortization'!I31</f>
        <v>17749.4948131725</v>
      </c>
      <c r="P28" s="237">
        <f>SUM(D28:O28)</f>
        <v>305577.378312048</v>
      </c>
      <c r="Q28" s="237">
        <f>'Note E - Loan Amortization'!M43</f>
        <v>210034.818549772</v>
      </c>
      <c r="R28" s="237">
        <f>'Note E - Loan Amortization'!M55</f>
        <v>204299.037369141</v>
      </c>
      <c r="S28" s="237">
        <f>'Note E - Loan Amortization'!M67</f>
        <v>198148.616103188</v>
      </c>
      <c r="T28" s="237">
        <f>'Note E - Loan Amortization'!M79</f>
        <v>191553.58038662</v>
      </c>
      <c r="U28" s="234"/>
      <c r="V28" s="8"/>
      <c r="W28" s="8"/>
      <c r="X28" s="8"/>
      <c r="Y28" s="25"/>
    </row>
    <row r="29" ht="13.15" customHeight="1">
      <c r="A29" s="222"/>
      <c r="B29" t="s" s="235">
        <v>134</v>
      </c>
      <c r="C29" s="214"/>
      <c r="D29" s="237">
        <f>('Key Assumptions &amp; Drivers'!$D$100/2)</f>
        <v>1555.2</v>
      </c>
      <c r="E29" s="237">
        <f>('Key Assumptions &amp; Drivers'!$D$100/12)</f>
        <v>259.2</v>
      </c>
      <c r="F29" s="237">
        <f>('Key Assumptions &amp; Drivers'!$D$100/12)</f>
        <v>259.2</v>
      </c>
      <c r="G29" s="237">
        <f>('Key Assumptions &amp; Drivers'!$D$100/12)</f>
        <v>259.2</v>
      </c>
      <c r="H29" s="237">
        <f>('Key Assumptions &amp; Drivers'!$D$100/12)</f>
        <v>259.2</v>
      </c>
      <c r="I29" s="237">
        <f>('Key Assumptions &amp; Drivers'!$D$100/12)</f>
        <v>259.2</v>
      </c>
      <c r="J29" s="237">
        <f>('Key Assumptions &amp; Drivers'!$D$100/12)</f>
        <v>259.2</v>
      </c>
      <c r="K29" s="237">
        <f>('Key Assumptions &amp; Drivers'!$D$100/12)</f>
        <v>259.2</v>
      </c>
      <c r="L29" s="237">
        <f>('Key Assumptions &amp; Drivers'!$D$100/12)</f>
        <v>259.2</v>
      </c>
      <c r="M29" s="237">
        <f>('Key Assumptions &amp; Drivers'!$D$100/12)</f>
        <v>259.2</v>
      </c>
      <c r="N29" s="237">
        <f>('Key Assumptions &amp; Drivers'!$D$100/12)</f>
        <v>259.2</v>
      </c>
      <c r="O29" s="237">
        <f>('Key Assumptions &amp; Drivers'!$D$100/12)</f>
        <v>259.2</v>
      </c>
      <c r="P29" s="237">
        <f>SUM(D29:O29)</f>
        <v>4406.4</v>
      </c>
      <c r="Q29" s="237">
        <f>'Key Assumptions &amp; Drivers'!$D$100</f>
        <v>3110.4</v>
      </c>
      <c r="R29" s="237">
        <f>'Key Assumptions &amp; Drivers'!$D$100</f>
        <v>3110.4</v>
      </c>
      <c r="S29" s="237">
        <f>'Key Assumptions &amp; Drivers'!$D$100</f>
        <v>3110.4</v>
      </c>
      <c r="T29" s="237">
        <f>'Key Assumptions &amp; Drivers'!$D$100</f>
        <v>3110.4</v>
      </c>
      <c r="U29" s="234"/>
      <c r="V29" s="8"/>
      <c r="W29" s="8"/>
      <c r="X29" s="8"/>
      <c r="Y29" s="25"/>
    </row>
    <row r="30" ht="13.15" customHeight="1">
      <c r="A30" s="222"/>
      <c r="B30" s="255"/>
      <c r="C30" s="214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4"/>
      <c r="V30" s="8"/>
      <c r="W30" s="8"/>
      <c r="X30" t="s" s="256">
        <v>47</v>
      </c>
      <c r="Y30" s="25"/>
    </row>
    <row r="31" ht="13.15" customHeight="1">
      <c r="A31" s="222"/>
      <c r="B31" t="s" s="235">
        <v>135</v>
      </c>
      <c r="C31" s="214"/>
      <c r="D31" s="257">
        <f>D20-D28-D29</f>
        <v>-157513.587899057</v>
      </c>
      <c r="E31" s="257">
        <f>E20-E28-E29</f>
        <v>-18843.4548008244</v>
      </c>
      <c r="F31" s="257">
        <f>F20-F28-F29</f>
        <v>5556.2328594476</v>
      </c>
      <c r="G31" s="257">
        <f>G20-G28-G29</f>
        <v>7456.1248813089</v>
      </c>
      <c r="H31" s="257">
        <f>H20-H28-H29</f>
        <v>9356.2224568686</v>
      </c>
      <c r="I31" s="257">
        <f>I20-I28-I29</f>
        <v>11256.5267851897</v>
      </c>
      <c r="J31" s="257">
        <f>J20-J28-J29</f>
        <v>14482.2147432275</v>
      </c>
      <c r="K31" s="257">
        <f>K20-K28-K29</f>
        <v>16382.9362022806</v>
      </c>
      <c r="L31" s="257">
        <f>L20-L28-L29</f>
        <v>18283.8680534156</v>
      </c>
      <c r="M31" s="257">
        <f>M20-M28-M29</f>
        <v>20185.0115239198</v>
      </c>
      <c r="N31" s="257">
        <f>N20-N28-N29</f>
        <v>22086.3678482393</v>
      </c>
      <c r="O31" s="257">
        <f>O20-O28-O29</f>
        <v>23987.9382680216</v>
      </c>
      <c r="P31" s="257">
        <f>P20-P28-P29</f>
        <v>-27323.599077966</v>
      </c>
      <c r="Q31" s="257">
        <f>Q20-Q28-Q29</f>
        <v>302658.321850771</v>
      </c>
      <c r="R31" s="257">
        <f>R20-R28-R29</f>
        <v>329319.300010074</v>
      </c>
      <c r="S31" s="257">
        <f>S20-S28-S29</f>
        <v>357129.489890959</v>
      </c>
      <c r="T31" s="257">
        <f>T20-T28-T29</f>
        <v>386151.106318587</v>
      </c>
      <c r="U31" s="234"/>
      <c r="V31" s="8"/>
      <c r="W31" s="8"/>
      <c r="X31" s="8"/>
      <c r="Y31" s="25"/>
    </row>
    <row r="32" ht="13.15" customHeight="1">
      <c r="A32" s="2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25"/>
    </row>
    <row r="33" ht="13.15" customHeight="1">
      <c r="A33" s="23"/>
      <c r="B33" t="s" s="235">
        <v>136</v>
      </c>
      <c r="C33" t="s" s="258">
        <v>137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8"/>
      <c r="V33" s="8"/>
      <c r="W33" s="8"/>
      <c r="X33" s="8"/>
      <c r="Y33" s="25"/>
    </row>
    <row r="34" ht="13.5" customHeight="1">
      <c r="A34" s="23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8"/>
      <c r="V34" s="8"/>
      <c r="W34" s="8"/>
      <c r="X34" s="8"/>
      <c r="Y34" s="25"/>
    </row>
    <row r="35" ht="13.5" customHeight="1">
      <c r="A35" s="260"/>
      <c r="B35" t="s" s="261">
        <v>138</v>
      </c>
      <c r="C35" s="262"/>
      <c r="D35" s="262">
        <f>D20-D28-D29-D33</f>
        <v>-157513.587899057</v>
      </c>
      <c r="E35" s="262">
        <f>E20-E28-E29-E33</f>
        <v>-18843.4548008244</v>
      </c>
      <c r="F35" s="262">
        <f>F20-F28-F29-F33</f>
        <v>5556.2328594476</v>
      </c>
      <c r="G35" s="262">
        <f>G20-G28-G29-G33</f>
        <v>7456.1248813089</v>
      </c>
      <c r="H35" s="262">
        <f>H20-H28-H29-H33</f>
        <v>9356.2224568686</v>
      </c>
      <c r="I35" s="262">
        <f>I20-I28-I29-I33</f>
        <v>11256.5267851897</v>
      </c>
      <c r="J35" s="262">
        <f>J20-J28-J29-J33</f>
        <v>14482.2147432275</v>
      </c>
      <c r="K35" s="262">
        <f>K20-K28-K29-K33</f>
        <v>16382.9362022806</v>
      </c>
      <c r="L35" s="262">
        <f>L20-L28-L29-L33</f>
        <v>18283.8680534156</v>
      </c>
      <c r="M35" s="262">
        <f>M20-M28-M29-M33</f>
        <v>20185.0115239198</v>
      </c>
      <c r="N35" s="262">
        <f>N20-N28-N29-N33</f>
        <v>22086.3678482393</v>
      </c>
      <c r="O35" s="262">
        <f>O20-O28-O29-O33</f>
        <v>23987.9382680216</v>
      </c>
      <c r="P35" s="262">
        <f>P20-P28-P29-P33</f>
        <v>-27323.599077966</v>
      </c>
      <c r="Q35" s="262">
        <f>Q20-Q28-Q29-Q33</f>
        <v>302658.321850771</v>
      </c>
      <c r="R35" s="262">
        <f>R20-R28-R29-R33</f>
        <v>329319.300010074</v>
      </c>
      <c r="S35" s="262">
        <f>S20-S28-S29-S33</f>
        <v>357129.489890959</v>
      </c>
      <c r="T35" s="263">
        <f>T20-T28-T29-T33</f>
        <v>386151.106318587</v>
      </c>
      <c r="U35" s="264"/>
      <c r="V35" s="265"/>
      <c r="W35" s="8"/>
      <c r="X35" s="8"/>
      <c r="Y35" s="25"/>
    </row>
    <row r="36" ht="13.15" customHeight="1">
      <c r="A36" s="23"/>
      <c r="B36" t="s" s="266">
        <v>123</v>
      </c>
      <c r="C36" s="267"/>
      <c r="D36" t="s" s="268">
        <f>_xlfn.IFERROR(D35/D9,"NA")</f>
        <v>124</v>
      </c>
      <c r="E36" s="269">
        <f>_xlfn.IFERROR(E35/E9,"NA")</f>
        <v>-0.227433668258621</v>
      </c>
      <c r="F36" s="269">
        <f>_xlfn.IFERROR(F35/F9,"NA")</f>
        <v>0.06506139362059971</v>
      </c>
      <c r="G36" s="269">
        <f>_xlfn.IFERROR(G35/G9,"NA")</f>
        <v>0.0847796001475606</v>
      </c>
      <c r="H36" s="269">
        <f>_xlfn.IFERROR(H35/H9,"NA")</f>
        <v>0.103389989022535</v>
      </c>
      <c r="I36" s="269">
        <f>_xlfn.IFERROR(I35/I9,"NA")</f>
        <v>0.120983563198914</v>
      </c>
      <c r="J36" s="269">
        <f>_xlfn.IFERROR(J35/J9,"NA")</f>
        <v>0.149001330456283</v>
      </c>
      <c r="K36" s="269">
        <f>_xlfn.IFERROR(K35/K9,"NA")</f>
        <v>0.164252281716197</v>
      </c>
      <c r="L36" s="269">
        <f>_xlfn.IFERROR(L35/L9,"NA")</f>
        <v>0.178745703810706</v>
      </c>
      <c r="M36" s="269">
        <f>_xlfn.IFERROR(M35/M9,"NA")</f>
        <v>0.192536827365987</v>
      </c>
      <c r="N36" s="269">
        <f>_xlfn.IFERROR(N35/N9,"NA")</f>
        <v>0.205675642475007</v>
      </c>
      <c r="O36" s="269">
        <f>_xlfn.IFERROR(O35/O9,"NA")</f>
        <v>0.218207505860106</v>
      </c>
      <c r="P36" s="269">
        <f>_xlfn.IFERROR(P35/P9,"NA")</f>
        <v>-0.0257498524315967</v>
      </c>
      <c r="Q36" s="269">
        <f>_xlfn.IFERROR(Q35/Q9,"NA")</f>
        <v>0.221014023184723</v>
      </c>
      <c r="R36" s="269">
        <f>_xlfn.IFERROR(R35/R9,"NA")</f>
        <v>0.232110377445752</v>
      </c>
      <c r="S36" s="269">
        <f>_xlfn.IFERROR(S35/S9,"NA")</f>
        <v>0.242788275224791</v>
      </c>
      <c r="T36" s="269">
        <f>_xlfn.IFERROR(T35/T9,"NA")</f>
        <v>0.253041211796396</v>
      </c>
      <c r="U36" s="8"/>
      <c r="V36" s="8"/>
      <c r="W36" s="8"/>
      <c r="X36" s="8"/>
      <c r="Y36" s="25"/>
    </row>
    <row r="37" ht="13.15" customHeight="1">
      <c r="A37" s="2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25"/>
    </row>
    <row r="38" ht="13.15" customHeight="1">
      <c r="A38" s="23"/>
      <c r="B38" s="8"/>
      <c r="C38" s="8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270"/>
      <c r="R38" s="270"/>
      <c r="S38" s="270"/>
      <c r="T38" s="270"/>
      <c r="U38" s="8"/>
      <c r="V38" s="8"/>
      <c r="W38" s="8"/>
      <c r="X38" s="8"/>
      <c r="Y38" s="25"/>
    </row>
    <row r="39" ht="13.15" customHeight="1">
      <c r="A39" s="23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52"/>
      <c r="Q39" s="8"/>
      <c r="R39" s="8"/>
      <c r="S39" s="8"/>
      <c r="T39" s="8"/>
      <c r="U39" s="8"/>
      <c r="V39" s="8"/>
      <c r="W39" s="8"/>
      <c r="X39" s="8"/>
      <c r="Y39" s="25"/>
    </row>
    <row r="40" ht="13.15" customHeight="1">
      <c r="A40" s="23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25"/>
    </row>
    <row r="41" ht="13.15" customHeight="1">
      <c r="A41" s="2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25"/>
    </row>
    <row r="42" ht="13.15" customHeight="1">
      <c r="A42" s="23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25"/>
    </row>
    <row r="43" ht="13.15" customHeight="1">
      <c r="A43" s="23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25"/>
    </row>
    <row r="44" ht="13.15" customHeight="1">
      <c r="A44" s="23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25"/>
    </row>
    <row r="45" ht="13.15" customHeight="1">
      <c r="A45" s="23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25"/>
    </row>
    <row r="46" ht="13.15" customHeight="1">
      <c r="A46" s="23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25"/>
    </row>
    <row r="47" ht="13.15" customHeight="1">
      <c r="A47" s="23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25"/>
    </row>
    <row r="48" ht="13.15" customHeight="1">
      <c r="A48" s="23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25"/>
    </row>
    <row r="49" ht="13.15" customHeight="1">
      <c r="A49" s="23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25"/>
    </row>
    <row r="50" ht="13.15" customHeight="1">
      <c r="A50" s="23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25"/>
    </row>
    <row r="51" ht="13.15" customHeight="1">
      <c r="A51" s="23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25"/>
    </row>
    <row r="52" ht="13.15" customHeight="1">
      <c r="A52" s="2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25"/>
    </row>
    <row r="53" ht="13.15" customHeight="1">
      <c r="A53" s="23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25"/>
    </row>
    <row r="54" ht="13.15" customHeight="1">
      <c r="A54" s="23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25"/>
    </row>
    <row r="55" ht="13.15" customHeight="1">
      <c r="A55" s="23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25"/>
    </row>
    <row r="56" ht="13" customHeight="1">
      <c r="A56" s="23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25"/>
    </row>
    <row r="57" ht="13" customHeight="1">
      <c r="A57" s="205"/>
      <c r="B57" s="209"/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10"/>
    </row>
  </sheetData>
  <pageMargins left="0.7" right="0" top="0.75" bottom="0" header="0.3" footer="0.3"/>
  <pageSetup firstPageNumber="1" fitToHeight="1" fitToWidth="1" scale="103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Z53"/>
  <sheetViews>
    <sheetView workbookViewId="0" showGridLines="0" defaultGridColor="1"/>
  </sheetViews>
  <sheetFormatPr defaultColWidth="9" defaultRowHeight="10.5" customHeight="1" outlineLevelRow="0" outlineLevelCol="0"/>
  <cols>
    <col min="1" max="1" width="2.75" style="271" customWidth="1"/>
    <col min="2" max="2" width="29.75" style="271" customWidth="1"/>
    <col min="3" max="3" hidden="1" width="9" style="271" customWidth="1"/>
    <col min="4" max="21" width="15.25" style="271" customWidth="1"/>
    <col min="22" max="22" width="11.75" style="271" customWidth="1"/>
    <col min="23" max="26" width="9" style="271" customWidth="1"/>
    <col min="27" max="16384" width="9" style="271" customWidth="1"/>
  </cols>
  <sheetData>
    <row r="1" ht="13.15" customHeight="1">
      <c r="A1" s="19"/>
      <c r="B1" s="212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"/>
      <c r="W1" s="21"/>
      <c r="X1" s="21"/>
      <c r="Y1" s="21"/>
      <c r="Z1" s="22"/>
    </row>
    <row r="2" ht="13.15" customHeight="1">
      <c r="A2" s="23"/>
      <c r="B2" t="s" s="272">
        <v>139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8"/>
      <c r="W2" s="8"/>
      <c r="X2" s="8"/>
      <c r="Y2" s="8"/>
      <c r="Z2" s="25"/>
    </row>
    <row r="3" ht="13" customHeight="1">
      <c r="A3" s="23"/>
      <c r="B3" s="215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8"/>
      <c r="W3" s="8"/>
      <c r="X3" s="8"/>
      <c r="Y3" s="8"/>
      <c r="Z3" s="25"/>
    </row>
    <row r="4" ht="10.9" customHeight="1">
      <c r="A4" s="23"/>
      <c r="B4" s="8"/>
      <c r="C4" s="8"/>
      <c r="D4" s="8"/>
      <c r="E4" s="21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25"/>
    </row>
    <row r="5" ht="13.5" customHeight="1">
      <c r="A5" s="23"/>
      <c r="B5" s="8"/>
      <c r="C5" s="217"/>
      <c r="D5" s="273"/>
      <c r="E5" t="s" s="224">
        <v>29</v>
      </c>
      <c r="F5" s="221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8"/>
      <c r="W5" s="8"/>
      <c r="X5" s="8"/>
      <c r="Y5" s="8"/>
      <c r="Z5" s="25"/>
    </row>
    <row r="6" ht="13.5" customHeight="1">
      <c r="A6" s="23"/>
      <c r="B6" s="218"/>
      <c r="C6" t="s" s="224">
        <v>113</v>
      </c>
      <c r="D6" t="s" s="224">
        <v>140</v>
      </c>
      <c r="E6" t="s" s="224">
        <v>31</v>
      </c>
      <c r="F6" s="226">
        <v>45139</v>
      </c>
      <c r="G6" s="226">
        <v>43344</v>
      </c>
      <c r="H6" s="226">
        <v>43374</v>
      </c>
      <c r="I6" s="226">
        <v>43405</v>
      </c>
      <c r="J6" s="226">
        <v>43435</v>
      </c>
      <c r="K6" s="226">
        <v>43466</v>
      </c>
      <c r="L6" s="226">
        <v>43497</v>
      </c>
      <c r="M6" s="226">
        <v>43525</v>
      </c>
      <c r="N6" s="226">
        <v>43556</v>
      </c>
      <c r="O6" s="226">
        <v>43586</v>
      </c>
      <c r="P6" s="226">
        <v>43617</v>
      </c>
      <c r="Q6" t="s" s="227">
        <v>114</v>
      </c>
      <c r="R6" s="274">
        <v>43983</v>
      </c>
      <c r="S6" s="274">
        <v>44348</v>
      </c>
      <c r="T6" s="274">
        <v>44713</v>
      </c>
      <c r="U6" s="275">
        <v>45078</v>
      </c>
      <c r="V6" s="264"/>
      <c r="W6" s="8"/>
      <c r="X6" s="8"/>
      <c r="Y6" s="8"/>
      <c r="Z6" s="25"/>
    </row>
    <row r="7" ht="13.15" customHeight="1">
      <c r="A7" s="23"/>
      <c r="B7" s="255"/>
      <c r="C7" s="276"/>
      <c r="D7" s="230"/>
      <c r="E7" s="277"/>
      <c r="F7" t="s" s="231">
        <v>115</v>
      </c>
      <c r="G7" t="s" s="231">
        <v>115</v>
      </c>
      <c r="H7" t="s" s="231">
        <v>115</v>
      </c>
      <c r="I7" t="s" s="231">
        <v>115</v>
      </c>
      <c r="J7" t="s" s="231">
        <v>115</v>
      </c>
      <c r="K7" t="s" s="231">
        <v>115</v>
      </c>
      <c r="L7" t="s" s="231">
        <v>115</v>
      </c>
      <c r="M7" t="s" s="231">
        <v>115</v>
      </c>
      <c r="N7" t="s" s="231">
        <v>115</v>
      </c>
      <c r="O7" t="s" s="231">
        <v>115</v>
      </c>
      <c r="P7" t="s" s="231">
        <v>115</v>
      </c>
      <c r="Q7" t="s" s="231">
        <v>115</v>
      </c>
      <c r="R7" t="s" s="231">
        <v>115</v>
      </c>
      <c r="S7" t="s" s="231">
        <v>115</v>
      </c>
      <c r="T7" t="s" s="231">
        <v>115</v>
      </c>
      <c r="U7" t="s" s="231">
        <v>115</v>
      </c>
      <c r="V7" s="8"/>
      <c r="W7" s="8"/>
      <c r="X7" s="8"/>
      <c r="Y7" s="8"/>
      <c r="Z7" s="25"/>
    </row>
    <row r="8" ht="13.15" customHeight="1">
      <c r="A8" s="23"/>
      <c r="B8" t="s" s="235">
        <v>141</v>
      </c>
      <c r="C8" s="233"/>
      <c r="D8" s="233"/>
      <c r="E8" s="233"/>
      <c r="F8" s="233"/>
      <c r="G8" s="233"/>
      <c r="H8" s="233"/>
      <c r="I8" s="232"/>
      <c r="J8" s="232"/>
      <c r="K8" s="232"/>
      <c r="L8" s="232"/>
      <c r="M8" s="232"/>
      <c r="N8" s="232"/>
      <c r="O8" s="232"/>
      <c r="P8" s="232"/>
      <c r="Q8" s="8"/>
      <c r="R8" s="8"/>
      <c r="S8" s="8"/>
      <c r="T8" s="8"/>
      <c r="U8" s="8"/>
      <c r="V8" s="8"/>
      <c r="W8" s="8"/>
      <c r="X8" s="8"/>
      <c r="Y8" s="8"/>
      <c r="Z8" s="25"/>
    </row>
    <row r="9" ht="13.15" customHeight="1">
      <c r="A9" s="23"/>
      <c r="B9" t="s" s="235">
        <v>142</v>
      </c>
      <c r="C9" s="278"/>
      <c r="D9" s="278">
        <f>'Cash Flow'!F29</f>
        <v>4075792</v>
      </c>
      <c r="E9" s="237">
        <f>'Cash Flow'!G29</f>
        <v>238484.06956188</v>
      </c>
      <c r="F9" s="237">
        <f>'Cash Flow'!H29</f>
        <v>229440.481673167</v>
      </c>
      <c r="G9" s="237">
        <f>'Cash Flow'!I29</f>
        <v>244686.038364454</v>
      </c>
      <c r="H9" s="237">
        <f>'Cash Flow'!J29</f>
        <v>261720.739635741</v>
      </c>
      <c r="I9" s="237">
        <f>'Cash Flow'!K29</f>
        <v>280544.585487028</v>
      </c>
      <c r="J9" s="237">
        <f>'Cash Flow'!L29</f>
        <v>301157.575918315</v>
      </c>
      <c r="K9" s="237">
        <f>'Cash Flow'!M29</f>
        <v>324837.277079641</v>
      </c>
      <c r="L9" s="237">
        <f>'Cash Flow'!N29</f>
        <v>350306.122820968</v>
      </c>
      <c r="M9" s="237">
        <f>'Cash Flow'!O29</f>
        <v>377564.113142294</v>
      </c>
      <c r="N9" s="237">
        <f>'Cash Flow'!P29</f>
        <v>406611.248043621</v>
      </c>
      <c r="O9" s="237">
        <f>'Cash Flow'!Q29</f>
        <v>437447.527524947</v>
      </c>
      <c r="P9" s="237">
        <f>'Cash Flow'!R29</f>
        <v>470072.951586273</v>
      </c>
      <c r="Q9" s="237">
        <f>'Cash Flow'!S29</f>
        <v>470072.95158627</v>
      </c>
      <c r="R9" s="237">
        <f>'Cash Flow'!T29</f>
        <v>766435.020232028</v>
      </c>
      <c r="S9" s="237">
        <f>'Cash Flow'!U29</f>
        <v>1074516.62682386</v>
      </c>
      <c r="T9" s="237">
        <f>'Cash Flow'!V29</f>
        <v>1394623.6813153</v>
      </c>
      <c r="U9" s="237">
        <f>'Cash Flow'!W29</f>
        <v>1727068.70920144</v>
      </c>
      <c r="V9" s="279"/>
      <c r="W9" s="280"/>
      <c r="X9" s="8"/>
      <c r="Y9" s="8"/>
      <c r="Z9" s="25"/>
    </row>
    <row r="10" ht="13.15" customHeight="1">
      <c r="A10" s="23"/>
      <c r="B10" t="s" s="235">
        <v>143</v>
      </c>
      <c r="C10" s="281"/>
      <c r="D10" s="281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79"/>
      <c r="W10" s="280"/>
      <c r="X10" s="8"/>
      <c r="Y10" s="8"/>
      <c r="Z10" s="25"/>
    </row>
    <row r="11" ht="13.15" customHeight="1">
      <c r="A11" s="23"/>
      <c r="B11" t="s" s="235">
        <v>144</v>
      </c>
      <c r="C11" s="237"/>
      <c r="D11" s="237"/>
      <c r="E11" s="237"/>
      <c r="F11" s="281"/>
      <c r="G11" s="237"/>
      <c r="H11" s="237"/>
      <c r="I11" s="237"/>
      <c r="J11" s="237"/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79"/>
      <c r="W11" s="280"/>
      <c r="X11" s="8"/>
      <c r="Y11" s="8"/>
      <c r="Z11" s="25"/>
    </row>
    <row r="12" ht="13.15" customHeight="1">
      <c r="A12" s="23"/>
      <c r="B12" t="s" s="235">
        <v>145</v>
      </c>
      <c r="C12" s="278"/>
      <c r="D12" s="278"/>
      <c r="E12" s="237"/>
      <c r="F12" s="281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79"/>
      <c r="W12" s="280"/>
      <c r="X12" s="8"/>
      <c r="Y12" s="8"/>
      <c r="Z12" s="25"/>
    </row>
    <row r="13" ht="13.15" customHeight="1">
      <c r="A13" s="23"/>
      <c r="B13" t="s" s="282">
        <v>146</v>
      </c>
      <c r="C13" s="283"/>
      <c r="D13" s="283">
        <f>SUM(D9:D12)</f>
        <v>4075792</v>
      </c>
      <c r="E13" s="283">
        <f>SUM(E9:E12)</f>
        <v>238484.06956188</v>
      </c>
      <c r="F13" s="283">
        <f>SUM(F9:F12)</f>
        <v>229440.481673167</v>
      </c>
      <c r="G13" s="283">
        <f>SUM(G9:G12)</f>
        <v>244686.038364454</v>
      </c>
      <c r="H13" s="283">
        <f>SUM(H9:H12)</f>
        <v>261720.739635741</v>
      </c>
      <c r="I13" s="283">
        <f>SUM(I9:I12)</f>
        <v>280544.585487028</v>
      </c>
      <c r="J13" s="283">
        <f>SUM(J9:J12)</f>
        <v>301157.575918315</v>
      </c>
      <c r="K13" s="283">
        <f>SUM(K9:K12)</f>
        <v>324837.277079641</v>
      </c>
      <c r="L13" s="283">
        <f>SUM(L9:L12)</f>
        <v>350306.122820968</v>
      </c>
      <c r="M13" s="283">
        <f>SUM(M9:M12)</f>
        <v>377564.113142294</v>
      </c>
      <c r="N13" s="283">
        <f>SUM(N9:N12)</f>
        <v>406611.248043621</v>
      </c>
      <c r="O13" s="283">
        <f>SUM(O9:O12)</f>
        <v>437447.527524947</v>
      </c>
      <c r="P13" s="283">
        <f>SUM(P9:P12)</f>
        <v>470072.951586273</v>
      </c>
      <c r="Q13" s="283">
        <f>SUM(Q9:Q12)</f>
        <v>470072.95158627</v>
      </c>
      <c r="R13" s="283">
        <f>SUM(R9:R12)</f>
        <v>766435.020232028</v>
      </c>
      <c r="S13" s="283">
        <f>SUM(S9:S12)</f>
        <v>1074516.62682386</v>
      </c>
      <c r="T13" s="283">
        <f>SUM(T9:T12)</f>
        <v>1394623.6813153</v>
      </c>
      <c r="U13" s="283">
        <f>SUM(U9:U12)</f>
        <v>1727068.70920144</v>
      </c>
      <c r="V13" s="279"/>
      <c r="W13" s="280"/>
      <c r="X13" s="8"/>
      <c r="Y13" s="8"/>
      <c r="Z13" s="25"/>
    </row>
    <row r="14" ht="13.15" customHeight="1">
      <c r="A14" s="23"/>
      <c r="B14" s="255"/>
      <c r="C14" s="284"/>
      <c r="D14" s="284"/>
      <c r="E14" s="257"/>
      <c r="F14" s="257"/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257"/>
      <c r="V14" s="279"/>
      <c r="W14" s="280"/>
      <c r="X14" s="8"/>
      <c r="Y14" s="8"/>
      <c r="Z14" s="25"/>
    </row>
    <row r="15" ht="13.15" customHeight="1">
      <c r="A15" s="23"/>
      <c r="B15" t="s" s="235">
        <v>147</v>
      </c>
      <c r="C15" s="284"/>
      <c r="D15" s="284"/>
      <c r="E15" s="237">
        <f>'Note D - PPE'!D28</f>
        <v>3663000</v>
      </c>
      <c r="F15" s="237">
        <f>'Note D - PPE'!E28</f>
        <v>3665485.57589715</v>
      </c>
      <c r="G15" s="237">
        <f>'Note D - PPE'!F28</f>
        <v>3668047.5712143</v>
      </c>
      <c r="H15" s="237">
        <f>'Note D - PPE'!G28</f>
        <v>3670685.98595145</v>
      </c>
      <c r="I15" s="237">
        <f>'Note D - PPE'!H28</f>
        <v>3673400.8201086</v>
      </c>
      <c r="J15" s="237">
        <f>'Note D - PPE'!I28</f>
        <v>3676192.07368575</v>
      </c>
      <c r="K15" s="237">
        <f>'Note D - PPE'!J28</f>
        <v>3679107.92981245</v>
      </c>
      <c r="L15" s="237">
        <f>'Note D - PPE'!K28</f>
        <v>3682100.20535915</v>
      </c>
      <c r="M15" s="237">
        <f>'Note D - PPE'!L28</f>
        <v>3685168.90032585</v>
      </c>
      <c r="N15" s="237">
        <f>'Note D - PPE'!M28</f>
        <v>3688314.01471255</v>
      </c>
      <c r="O15" s="237">
        <f>'Note D - PPE'!N28</f>
        <v>3691535.54851925</v>
      </c>
      <c r="P15" s="237">
        <f>'Note D - PPE'!O28</f>
        <v>3694833.50174595</v>
      </c>
      <c r="Q15" s="237">
        <f>'Note D - PPE'!P28</f>
        <v>3694833.50174594</v>
      </c>
      <c r="R15" s="237">
        <f>'Note D - PPE'!Q28</f>
        <v>3776997.96827786</v>
      </c>
      <c r="S15" s="237">
        <f>'Note D - PPE'!R28</f>
        <v>3862126.25171802</v>
      </c>
      <c r="T15" s="237">
        <f>'Note D - PPE'!S28</f>
        <v>3950383.27061079</v>
      </c>
      <c r="U15" s="237">
        <f>'Note D - PPE'!T28</f>
        <v>4041945.69324793</v>
      </c>
      <c r="V15" s="279"/>
      <c r="W15" s="280"/>
      <c r="X15" s="8"/>
      <c r="Y15" s="8"/>
      <c r="Z15" s="25"/>
    </row>
    <row r="16" ht="13.15" customHeight="1">
      <c r="A16" s="23"/>
      <c r="B16" t="s" s="235">
        <v>148</v>
      </c>
      <c r="C16" s="284"/>
      <c r="D16" s="284"/>
      <c r="E16" s="237">
        <f>-'Note D - PPE'!D44</f>
        <v>-18002.380952381</v>
      </c>
      <c r="F16" s="237">
        <f>-'Note D - PPE'!E44</f>
        <v>-36034.3520940138</v>
      </c>
      <c r="G16" s="237">
        <f>-'Note D - PPE'!F44</f>
        <v>-54067.2329906466</v>
      </c>
      <c r="H16" s="237">
        <f>-'Note D - PPE'!G44</f>
        <v>-72101.0236422794</v>
      </c>
      <c r="I16" s="237">
        <f>-'Note D - PPE'!H44</f>
        <v>-90135.724048912205</v>
      </c>
      <c r="J16" s="237">
        <f>-'Note D - PPE'!I44</f>
        <v>-108171.334210545</v>
      </c>
      <c r="K16" s="237">
        <f>-'Note D - PPE'!J44</f>
        <v>-126208.427735863</v>
      </c>
      <c r="L16" s="237">
        <f>-'Note D - PPE'!K44</f>
        <v>-144246.431016181</v>
      </c>
      <c r="M16" s="237">
        <f>-'Note D - PPE'!L44</f>
        <v>-162285.344051499</v>
      </c>
      <c r="N16" s="237">
        <f>-'Note D - PPE'!M44</f>
        <v>-180325.166841817</v>
      </c>
      <c r="O16" s="237">
        <f>-'Note D - PPE'!N44</f>
        <v>-198365.899387135</v>
      </c>
      <c r="P16" s="237">
        <f>-'Note D - PPE'!O44</f>
        <v>-216407.541687453</v>
      </c>
      <c r="Q16" s="237">
        <f>-'Note D - PPE'!P44</f>
        <v>-216407.541687452</v>
      </c>
      <c r="R16" s="237">
        <f>-'Note D - PPE'!Q44</f>
        <v>-444173.894049155</v>
      </c>
      <c r="S16" s="237">
        <f>-'Note D - PPE'!R44</f>
        <v>-672363.648826321</v>
      </c>
      <c r="T16" s="237">
        <f>-'Note D - PPE'!S44</f>
        <v>-901000.365811002</v>
      </c>
      <c r="U16" s="237">
        <f>-'Note D - PPE'!T44</f>
        <v>-1130109.28333059</v>
      </c>
      <c r="V16" s="285"/>
      <c r="W16" s="280"/>
      <c r="X16" s="8"/>
      <c r="Y16" s="8"/>
      <c r="Z16" s="25"/>
    </row>
    <row r="17" ht="13.15" customHeight="1">
      <c r="A17" s="23"/>
      <c r="B17" t="s" s="282">
        <v>149</v>
      </c>
      <c r="C17" s="283"/>
      <c r="D17" s="286"/>
      <c r="E17" s="287">
        <f>SUM(E15:E16)</f>
        <v>3644997.61904762</v>
      </c>
      <c r="F17" s="287">
        <f>SUM(F15:F16)</f>
        <v>3629451.22380314</v>
      </c>
      <c r="G17" s="287">
        <f>SUM(G15:G16)</f>
        <v>3613980.33822365</v>
      </c>
      <c r="H17" s="287">
        <f>SUM(H15:H16)</f>
        <v>3598584.96230917</v>
      </c>
      <c r="I17" s="287">
        <f>SUM(I15:I16)</f>
        <v>3583265.09605969</v>
      </c>
      <c r="J17" s="287">
        <f>SUM(J15:J16)</f>
        <v>3568020.73947521</v>
      </c>
      <c r="K17" s="287">
        <f>SUM(K15:K16)</f>
        <v>3552899.50207659</v>
      </c>
      <c r="L17" s="287">
        <f>SUM(L15:L16)</f>
        <v>3537853.77434297</v>
      </c>
      <c r="M17" s="287">
        <f>SUM(M15:M16)</f>
        <v>3522883.55627435</v>
      </c>
      <c r="N17" s="287">
        <f>SUM(N15:N16)</f>
        <v>3507988.84787073</v>
      </c>
      <c r="O17" s="287">
        <f>SUM(O15:O16)</f>
        <v>3493169.64913212</v>
      </c>
      <c r="P17" s="287">
        <f>SUM(P15:P16)</f>
        <v>3478425.9600585</v>
      </c>
      <c r="Q17" s="287">
        <f>SUM(Q15:Q16)</f>
        <v>3478425.96005849</v>
      </c>
      <c r="R17" s="287">
        <f>SUM(R15:R16)</f>
        <v>3332824.07422871</v>
      </c>
      <c r="S17" s="287">
        <f>SUM(S15:S16)</f>
        <v>3189762.6028917</v>
      </c>
      <c r="T17" s="287">
        <f>SUM(T15:T16)</f>
        <v>3049382.90479979</v>
      </c>
      <c r="U17" s="287">
        <f>SUM(U15:U16)</f>
        <v>2911836.40991734</v>
      </c>
      <c r="V17" s="279"/>
      <c r="W17" s="280"/>
      <c r="X17" s="8"/>
      <c r="Y17" s="8"/>
      <c r="Z17" s="25"/>
    </row>
    <row r="18" ht="13.15" customHeight="1">
      <c r="A18" s="23"/>
      <c r="B18" s="255"/>
      <c r="C18" s="250"/>
      <c r="D18" s="250"/>
      <c r="E18" s="242"/>
      <c r="F18" s="242"/>
      <c r="G18" s="242"/>
      <c r="H18" s="242"/>
      <c r="I18" s="242"/>
      <c r="J18" s="242"/>
      <c r="K18" s="242"/>
      <c r="L18" s="242"/>
      <c r="M18" s="242"/>
      <c r="N18" s="242"/>
      <c r="O18" s="242"/>
      <c r="P18" s="242"/>
      <c r="Q18" s="242"/>
      <c r="R18" s="242"/>
      <c r="S18" s="242"/>
      <c r="T18" s="242"/>
      <c r="U18" s="242"/>
      <c r="V18" s="279"/>
      <c r="W18" s="280"/>
      <c r="X18" s="8"/>
      <c r="Y18" s="8"/>
      <c r="Z18" s="25"/>
    </row>
    <row r="19" ht="13.15" customHeight="1">
      <c r="A19" s="23"/>
      <c r="B19" t="s" s="282">
        <v>150</v>
      </c>
      <c r="C19" s="283"/>
      <c r="D19" s="286">
        <f>'Key Assumptions &amp; Drivers'!$D$98*'Key Assumptions &amp; Drivers'!$D$99</f>
        <v>62208</v>
      </c>
      <c r="E19" s="287">
        <f>D19-'Summary P&amp;L'!D29</f>
        <v>60652.8</v>
      </c>
      <c r="F19" s="287">
        <f>E19-'Summary P&amp;L'!E29</f>
        <v>60393.6</v>
      </c>
      <c r="G19" s="287">
        <f>F19-'Summary P&amp;L'!F29</f>
        <v>60134.4</v>
      </c>
      <c r="H19" s="287">
        <f>G19-'Summary P&amp;L'!G29</f>
        <v>59875.2</v>
      </c>
      <c r="I19" s="287">
        <f>H19-'Summary P&amp;L'!H29</f>
        <v>59616</v>
      </c>
      <c r="J19" s="287">
        <f>I19-'Summary P&amp;L'!I29</f>
        <v>59356.8</v>
      </c>
      <c r="K19" s="287">
        <f>J19-'Summary P&amp;L'!J29</f>
        <v>59097.6</v>
      </c>
      <c r="L19" s="287">
        <f>K19-'Summary P&amp;L'!K29</f>
        <v>58838.4</v>
      </c>
      <c r="M19" s="287">
        <f>L19-'Summary P&amp;L'!L29</f>
        <v>58579.2</v>
      </c>
      <c r="N19" s="287">
        <f>M19-'Summary P&amp;L'!M29</f>
        <v>58320</v>
      </c>
      <c r="O19" s="287">
        <f>N19-'Summary P&amp;L'!N29</f>
        <v>58060.8</v>
      </c>
      <c r="P19" s="287">
        <f>O19-'Summary P&amp;L'!O29</f>
        <v>57801.6</v>
      </c>
      <c r="Q19" s="287">
        <f>P19</f>
        <v>57801.6</v>
      </c>
      <c r="R19" s="287">
        <f>Q19-'Summary P&amp;L'!Q29</f>
        <v>54691.2</v>
      </c>
      <c r="S19" s="287">
        <f>R19-'Summary P&amp;L'!R29</f>
        <v>51580.8</v>
      </c>
      <c r="T19" s="287">
        <f>S19-'Summary P&amp;L'!S29</f>
        <v>48470.4</v>
      </c>
      <c r="U19" s="287">
        <f>T19-'Summary P&amp;L'!T29</f>
        <v>45360</v>
      </c>
      <c r="V19" s="279"/>
      <c r="W19" s="280"/>
      <c r="X19" s="8"/>
      <c r="Y19" s="8"/>
      <c r="Z19" s="25"/>
    </row>
    <row r="20" ht="13.5" customHeight="1">
      <c r="A20" s="23"/>
      <c r="B20" s="288"/>
      <c r="C20" s="289"/>
      <c r="D20" s="289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79"/>
      <c r="W20" s="280"/>
      <c r="X20" s="8"/>
      <c r="Y20" s="8"/>
      <c r="Z20" s="25"/>
    </row>
    <row r="21" ht="13.5" customHeight="1">
      <c r="A21" s="260"/>
      <c r="B21" t="s" s="291">
        <v>151</v>
      </c>
      <c r="C21" s="292"/>
      <c r="D21" s="293">
        <f>D17+D13+D19</f>
        <v>4138000</v>
      </c>
      <c r="E21" s="293">
        <f>E17+E13+E19</f>
        <v>3944134.4886095</v>
      </c>
      <c r="F21" s="293">
        <f>F17+F13+F19</f>
        <v>3919285.30547631</v>
      </c>
      <c r="G21" s="293">
        <f>G17+G13+G19</f>
        <v>3918800.7765881</v>
      </c>
      <c r="H21" s="293">
        <f>H17+H13+H19</f>
        <v>3920180.90194491</v>
      </c>
      <c r="I21" s="293">
        <f>I17+I13+I19</f>
        <v>3923425.68154672</v>
      </c>
      <c r="J21" s="293">
        <f>J17+J13+J19</f>
        <v>3928535.11539353</v>
      </c>
      <c r="K21" s="293">
        <f>K17+K13+K19</f>
        <v>3936834.37915623</v>
      </c>
      <c r="L21" s="293">
        <f>L17+L13+L19</f>
        <v>3946998.29716394</v>
      </c>
      <c r="M21" s="293">
        <f>M17+M13+M19</f>
        <v>3959026.86941664</v>
      </c>
      <c r="N21" s="293">
        <f>N17+N13+N19</f>
        <v>3972920.09591435</v>
      </c>
      <c r="O21" s="293">
        <f>O17+O13+O19</f>
        <v>3988677.97665707</v>
      </c>
      <c r="P21" s="293">
        <f>P17+P13+P19</f>
        <v>4006300.51164477</v>
      </c>
      <c r="Q21" s="293">
        <f>Q17+Q13+Q19</f>
        <v>4006300.51164476</v>
      </c>
      <c r="R21" s="293">
        <f>R17+R13+R19</f>
        <v>4153950.29446074</v>
      </c>
      <c r="S21" s="293">
        <f>S17+S13+S19</f>
        <v>4315860.02971556</v>
      </c>
      <c r="T21" s="293">
        <f>T17+T13+T19</f>
        <v>4492476.98611509</v>
      </c>
      <c r="U21" s="294">
        <f>U17+U13+U19</f>
        <v>4684265.11911878</v>
      </c>
      <c r="V21" s="295"/>
      <c r="W21" s="280"/>
      <c r="X21" s="8"/>
      <c r="Y21" s="8"/>
      <c r="Z21" s="25"/>
    </row>
    <row r="22" ht="13.15" customHeight="1">
      <c r="A22" s="23"/>
      <c r="B22" s="296"/>
      <c r="C22" s="297"/>
      <c r="D22" s="297"/>
      <c r="E22" s="298"/>
      <c r="F22" s="298"/>
      <c r="G22" s="298"/>
      <c r="H22" s="298"/>
      <c r="I22" s="298"/>
      <c r="J22" s="298"/>
      <c r="K22" s="298"/>
      <c r="L22" s="298"/>
      <c r="M22" s="298"/>
      <c r="N22" s="298"/>
      <c r="O22" s="298"/>
      <c r="P22" s="298"/>
      <c r="Q22" s="298"/>
      <c r="R22" s="298"/>
      <c r="S22" s="298"/>
      <c r="T22" s="298"/>
      <c r="U22" s="298"/>
      <c r="V22" s="279"/>
      <c r="W22" s="280"/>
      <c r="X22" s="8"/>
      <c r="Y22" s="8"/>
      <c r="Z22" s="25"/>
    </row>
    <row r="23" ht="13.15" customHeight="1">
      <c r="A23" s="23"/>
      <c r="B23" s="255"/>
      <c r="C23" s="250"/>
      <c r="D23" s="250"/>
      <c r="E23" s="242"/>
      <c r="F23" s="242"/>
      <c r="G23" s="242"/>
      <c r="H23" s="242"/>
      <c r="I23" s="242"/>
      <c r="J23" s="242"/>
      <c r="K23" s="242"/>
      <c r="L23" s="242"/>
      <c r="M23" s="242"/>
      <c r="N23" s="242"/>
      <c r="O23" s="242"/>
      <c r="P23" s="242"/>
      <c r="Q23" s="242"/>
      <c r="R23" s="242"/>
      <c r="S23" s="242"/>
      <c r="T23" s="242"/>
      <c r="U23" s="242"/>
      <c r="V23" s="279"/>
      <c r="W23" s="280"/>
      <c r="X23" s="8"/>
      <c r="Y23" s="8"/>
      <c r="Z23" s="25"/>
    </row>
    <row r="24" ht="13.15" customHeight="1">
      <c r="A24" s="23"/>
      <c r="B24" t="s" s="235">
        <v>152</v>
      </c>
      <c r="C24" s="250"/>
      <c r="D24" s="250"/>
      <c r="E24" s="242"/>
      <c r="F24" s="242"/>
      <c r="G24" s="242"/>
      <c r="H24" s="242"/>
      <c r="I24" s="242"/>
      <c r="J24" s="242"/>
      <c r="K24" s="242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V24" s="279"/>
      <c r="W24" s="280"/>
      <c r="X24" s="8"/>
      <c r="Y24" s="8"/>
      <c r="Z24" s="25"/>
    </row>
    <row r="25" ht="13.15" customHeight="1">
      <c r="A25" s="23"/>
      <c r="B25" t="s" s="235">
        <v>153</v>
      </c>
      <c r="C25" s="250"/>
      <c r="D25" s="250"/>
      <c r="E25" s="242"/>
      <c r="F25" s="239"/>
      <c r="G25" s="242"/>
      <c r="H25" s="242"/>
      <c r="I25" s="242"/>
      <c r="J25" s="242"/>
      <c r="K25" s="242"/>
      <c r="L25" s="242"/>
      <c r="M25" s="242"/>
      <c r="N25" s="242"/>
      <c r="O25" s="242"/>
      <c r="P25" s="242"/>
      <c r="Q25" s="242"/>
      <c r="R25" s="242"/>
      <c r="S25" s="242"/>
      <c r="T25" s="242"/>
      <c r="U25" s="242"/>
      <c r="V25" s="279"/>
      <c r="W25" s="280"/>
      <c r="X25" s="8"/>
      <c r="Y25" s="8"/>
      <c r="Z25" s="25"/>
    </row>
    <row r="26" ht="13.15" customHeight="1">
      <c r="A26" s="23"/>
      <c r="B26" t="s" s="235">
        <v>154</v>
      </c>
      <c r="C26" s="250"/>
      <c r="D26" s="250"/>
      <c r="E26" s="242"/>
      <c r="F26" s="239"/>
      <c r="G26" s="242"/>
      <c r="H26" s="242"/>
      <c r="I26" s="242"/>
      <c r="J26" s="242"/>
      <c r="K26" s="242"/>
      <c r="L26" s="242"/>
      <c r="M26" s="242"/>
      <c r="N26" s="242"/>
      <c r="O26" s="242"/>
      <c r="P26" s="242"/>
      <c r="Q26" s="242"/>
      <c r="R26" s="242"/>
      <c r="S26" s="242"/>
      <c r="T26" s="242"/>
      <c r="U26" s="242"/>
      <c r="V26" s="279"/>
      <c r="W26" s="280"/>
      <c r="X26" s="8"/>
      <c r="Y26" s="8"/>
      <c r="Z26" s="25"/>
    </row>
    <row r="27" ht="13.15" customHeight="1">
      <c r="A27" s="23"/>
      <c r="B27" t="s" s="235">
        <v>155</v>
      </c>
      <c r="C27" s="250"/>
      <c r="D27" s="250"/>
      <c r="E27" s="242"/>
      <c r="F27" s="239"/>
      <c r="G27" s="242"/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2"/>
      <c r="S27" s="242"/>
      <c r="T27" s="242"/>
      <c r="U27" s="242"/>
      <c r="V27" s="279"/>
      <c r="W27" s="280"/>
      <c r="X27" s="8"/>
      <c r="Y27" s="8"/>
      <c r="Z27" s="25"/>
    </row>
    <row r="28" ht="13.15" customHeight="1">
      <c r="A28" s="23"/>
      <c r="B28" s="255"/>
      <c r="C28" s="250"/>
      <c r="D28" s="250"/>
      <c r="E28" s="242"/>
      <c r="F28" s="242"/>
      <c r="G28" s="242"/>
      <c r="H28" s="242"/>
      <c r="I28" s="242"/>
      <c r="J28" s="242"/>
      <c r="K28" s="242"/>
      <c r="L28" s="242"/>
      <c r="M28" s="242"/>
      <c r="N28" s="242"/>
      <c r="O28" s="242"/>
      <c r="P28" s="242"/>
      <c r="Q28" s="242"/>
      <c r="R28" s="242"/>
      <c r="S28" s="242"/>
      <c r="T28" s="242"/>
      <c r="U28" s="242"/>
      <c r="V28" s="279"/>
      <c r="W28" s="280"/>
      <c r="X28" s="8"/>
      <c r="Y28" s="8"/>
      <c r="Z28" s="25"/>
    </row>
    <row r="29" ht="13.15" customHeight="1">
      <c r="A29" s="23"/>
      <c r="B29" t="s" s="282">
        <v>156</v>
      </c>
      <c r="C29" s="283"/>
      <c r="D29" s="283">
        <f>SUM(D24:D27)</f>
        <v>0</v>
      </c>
      <c r="E29" s="283">
        <f>SUM(E24:E27)</f>
        <v>0</v>
      </c>
      <c r="F29" s="283">
        <f>SUM(F24:F27)</f>
        <v>0</v>
      </c>
      <c r="G29" s="283">
        <f>SUM(G24:G27)</f>
        <v>0</v>
      </c>
      <c r="H29" s="283">
        <f>SUM(H24:H27)</f>
        <v>0</v>
      </c>
      <c r="I29" s="283">
        <f>SUM(I24:I27)</f>
        <v>0</v>
      </c>
      <c r="J29" s="283">
        <f>SUM(J24:J27)</f>
        <v>0</v>
      </c>
      <c r="K29" s="283">
        <f>SUM(K24:K27)</f>
        <v>0</v>
      </c>
      <c r="L29" s="283">
        <f>SUM(L24:L27)</f>
        <v>0</v>
      </c>
      <c r="M29" s="283">
        <f>SUM(M24:M27)</f>
        <v>0</v>
      </c>
      <c r="N29" s="283">
        <f>SUM(N24:N27)</f>
        <v>0</v>
      </c>
      <c r="O29" s="283">
        <f>SUM(O24:O27)</f>
        <v>0</v>
      </c>
      <c r="P29" s="283">
        <f>SUM(P24:P27)</f>
        <v>0</v>
      </c>
      <c r="Q29" s="283">
        <f>SUM(Q24:Q27)</f>
        <v>0</v>
      </c>
      <c r="R29" s="283">
        <f>SUM(R24:R27)</f>
        <v>0</v>
      </c>
      <c r="S29" s="283">
        <f>SUM(S24:S27)</f>
        <v>0</v>
      </c>
      <c r="T29" s="283">
        <f>SUM(T24:T27)</f>
        <v>0</v>
      </c>
      <c r="U29" s="283">
        <f>SUM(U24:U27)</f>
        <v>0</v>
      </c>
      <c r="V29" s="279"/>
      <c r="W29" s="280"/>
      <c r="X29" s="8"/>
      <c r="Y29" s="8"/>
      <c r="Z29" s="25"/>
    </row>
    <row r="30" ht="13.15" customHeight="1">
      <c r="A30" s="23"/>
      <c r="B30" s="255"/>
      <c r="C30" s="250"/>
      <c r="D30" s="250"/>
      <c r="E30" s="250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79"/>
      <c r="W30" s="280"/>
      <c r="X30" s="8"/>
      <c r="Y30" s="8"/>
      <c r="Z30" s="25"/>
    </row>
    <row r="31" ht="13.15" customHeight="1">
      <c r="A31" s="23"/>
      <c r="B31" t="s" s="282">
        <v>157</v>
      </c>
      <c r="C31" s="283"/>
      <c r="D31" s="299">
        <v>-3110400</v>
      </c>
      <c r="E31" s="299">
        <f>D31-'Cash Flow'!G22</f>
        <v>-3074048.07650856</v>
      </c>
      <c r="F31" s="299">
        <f>E31-'Cash Flow'!H22</f>
        <v>-3068042.34817619</v>
      </c>
      <c r="G31" s="299">
        <f>F31-'Cash Flow'!I22</f>
        <v>-3062001.58642855</v>
      </c>
      <c r="H31" s="299">
        <f>G31-'Cash Flow'!J22</f>
        <v>-3055925.58690405</v>
      </c>
      <c r="I31" s="299">
        <f>H31-'Cash Flow'!K22</f>
        <v>-3049814.14404899</v>
      </c>
      <c r="J31" s="299">
        <f>I31-'Cash Flow'!L22</f>
        <v>-3043667.05111061</v>
      </c>
      <c r="K31" s="299">
        <f>J31-'Cash Flow'!M22</f>
        <v>-3037484.10013009</v>
      </c>
      <c r="L31" s="299">
        <f>K31-'Cash Flow'!N22</f>
        <v>-3031265.08193551</v>
      </c>
      <c r="M31" s="299">
        <f>L31-'Cash Flow'!O22</f>
        <v>-3025009.7861348</v>
      </c>
      <c r="N31" s="299">
        <f>M31-'Cash Flow'!P22</f>
        <v>-3018718.00110858</v>
      </c>
      <c r="O31" s="299">
        <f>N31-'Cash Flow'!Q22</f>
        <v>-3012389.51400305</v>
      </c>
      <c r="P31" s="299">
        <f>O31-'Cash Flow'!R22</f>
        <v>-3006024.11072273</v>
      </c>
      <c r="Q31" s="299">
        <f>P31</f>
        <v>-3006024.11072273</v>
      </c>
      <c r="R31" s="299">
        <f>Q31-'Cash Flow'!T22</f>
        <v>-2926680.15215063</v>
      </c>
      <c r="S31" s="299">
        <f>R31-'Cash Flow'!U22</f>
        <v>-2841600.4123979</v>
      </c>
      <c r="T31" s="299">
        <f>S31-'Cash Flow'!V22</f>
        <v>-2750370.25137921</v>
      </c>
      <c r="U31" s="299">
        <f>T31-'Cash Flow'!W22</f>
        <v>-2652545.05464396</v>
      </c>
      <c r="V31" s="279"/>
      <c r="W31" s="280"/>
      <c r="X31" s="8"/>
      <c r="Y31" s="8"/>
      <c r="Z31" s="25"/>
    </row>
    <row r="32" ht="13.5" customHeight="1">
      <c r="A32" s="23"/>
      <c r="B32" s="217"/>
      <c r="C32" s="217"/>
      <c r="D32" s="300"/>
      <c r="E32" s="300"/>
      <c r="F32" s="300"/>
      <c r="G32" s="300"/>
      <c r="H32" s="300"/>
      <c r="I32" s="300"/>
      <c r="J32" s="300"/>
      <c r="K32" s="300"/>
      <c r="L32" s="300"/>
      <c r="M32" s="300"/>
      <c r="N32" s="300"/>
      <c r="O32" s="300"/>
      <c r="P32" s="300"/>
      <c r="Q32" s="300"/>
      <c r="R32" s="300"/>
      <c r="S32" s="300"/>
      <c r="T32" s="300"/>
      <c r="U32" s="300"/>
      <c r="V32" s="279"/>
      <c r="W32" s="279"/>
      <c r="X32" s="8"/>
      <c r="Y32" s="8"/>
      <c r="Z32" s="25"/>
    </row>
    <row r="33" ht="13.5" customHeight="1">
      <c r="A33" s="260"/>
      <c r="B33" t="s" s="301">
        <v>158</v>
      </c>
      <c r="C33" s="302"/>
      <c r="D33" s="303">
        <f>D31+D29</f>
        <v>-3110400</v>
      </c>
      <c r="E33" s="303">
        <f>E31+E29</f>
        <v>-3074048.07650856</v>
      </c>
      <c r="F33" s="303">
        <f>F31+F29</f>
        <v>-3068042.34817619</v>
      </c>
      <c r="G33" s="303">
        <f>G31+G29</f>
        <v>-3062001.58642855</v>
      </c>
      <c r="H33" s="303">
        <f>H31+H29</f>
        <v>-3055925.58690405</v>
      </c>
      <c r="I33" s="303">
        <f>I31+I29</f>
        <v>-3049814.14404899</v>
      </c>
      <c r="J33" s="303">
        <f>J31+J29</f>
        <v>-3043667.05111061</v>
      </c>
      <c r="K33" s="303">
        <f>K31+K29</f>
        <v>-3037484.10013009</v>
      </c>
      <c r="L33" s="303">
        <f>L31+L29</f>
        <v>-3031265.08193551</v>
      </c>
      <c r="M33" s="303">
        <f>M31+M29</f>
        <v>-3025009.7861348</v>
      </c>
      <c r="N33" s="303">
        <f>N31+N29</f>
        <v>-3018718.00110858</v>
      </c>
      <c r="O33" s="303">
        <f>O31+O29</f>
        <v>-3012389.51400305</v>
      </c>
      <c r="P33" s="303">
        <f>P31+P29</f>
        <v>-3006024.11072273</v>
      </c>
      <c r="Q33" s="303">
        <f>Q31+Q29</f>
        <v>-3006024.11072273</v>
      </c>
      <c r="R33" s="303">
        <f>R31+R29</f>
        <v>-2926680.15215063</v>
      </c>
      <c r="S33" s="303">
        <f>S31+S29</f>
        <v>-2841600.4123979</v>
      </c>
      <c r="T33" s="303">
        <f>T31+T29</f>
        <v>-2750370.25137921</v>
      </c>
      <c r="U33" s="304">
        <f>U31+U29</f>
        <v>-2652545.05464396</v>
      </c>
      <c r="V33" s="295"/>
      <c r="W33" s="279"/>
      <c r="X33" s="8"/>
      <c r="Y33" s="8"/>
      <c r="Z33" s="25"/>
    </row>
    <row r="34" ht="13.15" customHeight="1">
      <c r="A34" s="23"/>
      <c r="B34" s="267"/>
      <c r="C34" s="267"/>
      <c r="D34" s="305"/>
      <c r="E34" s="305"/>
      <c r="F34" s="305"/>
      <c r="G34" s="305"/>
      <c r="H34" s="305"/>
      <c r="I34" s="305"/>
      <c r="J34" s="305"/>
      <c r="K34" s="305"/>
      <c r="L34" s="305"/>
      <c r="M34" s="305"/>
      <c r="N34" s="305"/>
      <c r="O34" s="305"/>
      <c r="P34" s="305"/>
      <c r="Q34" s="305"/>
      <c r="R34" s="305"/>
      <c r="S34" s="305"/>
      <c r="T34" s="305"/>
      <c r="U34" s="305"/>
      <c r="V34" s="279"/>
      <c r="W34" s="279"/>
      <c r="X34" s="8"/>
      <c r="Y34" s="8"/>
      <c r="Z34" s="25"/>
    </row>
    <row r="35" ht="13.15" customHeight="1">
      <c r="A35" s="23"/>
      <c r="B35" t="s" s="306">
        <v>159</v>
      </c>
      <c r="C35" s="8"/>
      <c r="D35" s="250"/>
      <c r="E35" s="250"/>
      <c r="F35" s="279"/>
      <c r="G35" s="279"/>
      <c r="H35" s="279"/>
      <c r="I35" s="279"/>
      <c r="J35" s="279"/>
      <c r="K35" s="279"/>
      <c r="L35" s="279"/>
      <c r="M35" s="279"/>
      <c r="N35" s="279"/>
      <c r="O35" s="279"/>
      <c r="P35" s="279"/>
      <c r="Q35" s="279"/>
      <c r="R35" s="279"/>
      <c r="S35" s="279"/>
      <c r="T35" s="279"/>
      <c r="U35" s="279"/>
      <c r="V35" s="279"/>
      <c r="W35" s="279"/>
      <c r="X35" s="8"/>
      <c r="Y35" s="8"/>
      <c r="Z35" s="25"/>
    </row>
    <row r="36" ht="13.15" customHeight="1">
      <c r="A36" s="23"/>
      <c r="B36" t="s" s="235">
        <v>160</v>
      </c>
      <c r="C36" s="8"/>
      <c r="D36" s="307">
        <f>-'Key Assumptions &amp; Drivers'!$D$111</f>
        <v>-1027600</v>
      </c>
      <c r="E36" s="308">
        <f>D36</f>
        <v>-1027600</v>
      </c>
      <c r="F36" s="308">
        <f>E36</f>
        <v>-1027600</v>
      </c>
      <c r="G36" s="308">
        <f>F36</f>
        <v>-1027600</v>
      </c>
      <c r="H36" s="308">
        <f>G36</f>
        <v>-1027600</v>
      </c>
      <c r="I36" s="308">
        <f>H36</f>
        <v>-1027600</v>
      </c>
      <c r="J36" s="308">
        <f>I36</f>
        <v>-1027600</v>
      </c>
      <c r="K36" s="308">
        <f>J36</f>
        <v>-1027600</v>
      </c>
      <c r="L36" s="308">
        <f>K36</f>
        <v>-1027600</v>
      </c>
      <c r="M36" s="308">
        <f>L36</f>
        <v>-1027600</v>
      </c>
      <c r="N36" s="308">
        <f>M36</f>
        <v>-1027600</v>
      </c>
      <c r="O36" s="308">
        <f>N36</f>
        <v>-1027600</v>
      </c>
      <c r="P36" s="308">
        <f>O36</f>
        <v>-1027600</v>
      </c>
      <c r="Q36" s="308">
        <f>P36</f>
        <v>-1027600</v>
      </c>
      <c r="R36" s="308">
        <f>Q36</f>
        <v>-1027600</v>
      </c>
      <c r="S36" s="308">
        <f>R36</f>
        <v>-1027600</v>
      </c>
      <c r="T36" s="308">
        <f>S36</f>
        <v>-1027600</v>
      </c>
      <c r="U36" s="308">
        <f>T36</f>
        <v>-1027600</v>
      </c>
      <c r="V36" s="279"/>
      <c r="W36" s="279"/>
      <c r="X36" s="8"/>
      <c r="Y36" s="8"/>
      <c r="Z36" s="25"/>
    </row>
    <row r="37" ht="13.15" customHeight="1">
      <c r="A37" s="23"/>
      <c r="B37" t="s" s="235">
        <v>161</v>
      </c>
      <c r="C37" s="309">
        <f>'Key Assumptions &amp; Drivers'!$D$112</f>
        <v>0.25</v>
      </c>
      <c r="D37" s="308"/>
      <c r="E37" s="308"/>
      <c r="F37" s="308"/>
      <c r="G37" s="308"/>
      <c r="H37" s="308"/>
      <c r="I37" s="308"/>
      <c r="J37" s="308"/>
      <c r="K37" s="308"/>
      <c r="L37" s="308"/>
      <c r="M37" s="308"/>
      <c r="N37" s="308"/>
      <c r="O37" s="308"/>
      <c r="P37" s="308"/>
      <c r="Q37" s="308"/>
      <c r="R37" s="308">
        <f>R39*-$C$37</f>
        <v>75664.5804626928</v>
      </c>
      <c r="S37" s="308">
        <f>S39*-$C$37</f>
        <v>82329.8250025185</v>
      </c>
      <c r="T37" s="308">
        <f>T39*-$C$37</f>
        <v>89282.372472739793</v>
      </c>
      <c r="U37" s="308">
        <f>U39*-$C$37</f>
        <v>96537.7765796468</v>
      </c>
      <c r="V37" s="279"/>
      <c r="W37" s="279"/>
      <c r="X37" s="8"/>
      <c r="Y37" s="8"/>
      <c r="Z37" s="25"/>
    </row>
    <row r="38" ht="13.15" customHeight="1">
      <c r="A38" s="23"/>
      <c r="B38" t="s" s="235">
        <v>162</v>
      </c>
      <c r="C38" s="310"/>
      <c r="D38" s="308"/>
      <c r="E38" s="308"/>
      <c r="F38" s="308"/>
      <c r="G38" s="308"/>
      <c r="H38" s="308"/>
      <c r="I38" s="308"/>
      <c r="J38" s="308"/>
      <c r="K38" s="308"/>
      <c r="L38" s="308"/>
      <c r="M38" s="308"/>
      <c r="N38" s="308"/>
      <c r="O38" s="308"/>
      <c r="P38" s="308"/>
      <c r="Q38" s="308"/>
      <c r="R38" s="278">
        <f>Q37</f>
        <v>0</v>
      </c>
      <c r="S38" s="308">
        <f>SUM(Q37:R37)</f>
        <v>75664.5804626928</v>
      </c>
      <c r="T38" s="308">
        <f>SUM(Q37:S37)</f>
        <v>157994.405465211</v>
      </c>
      <c r="U38" s="308">
        <f>SUM(Q37:T37)</f>
        <v>247276.777937951</v>
      </c>
      <c r="V38" s="279"/>
      <c r="W38" s="279"/>
      <c r="X38" s="8"/>
      <c r="Y38" s="8"/>
      <c r="Z38" s="25"/>
    </row>
    <row r="39" ht="13.15" customHeight="1">
      <c r="A39" s="23"/>
      <c r="B39" t="s" s="235">
        <v>163</v>
      </c>
      <c r="C39" s="8"/>
      <c r="D39" s="308"/>
      <c r="E39" s="311">
        <f>-'Summary P&amp;L'!D35</f>
        <v>157513.587899057</v>
      </c>
      <c r="F39" s="311">
        <f>-'Summary P&amp;L'!E35</f>
        <v>18843.4548008244</v>
      </c>
      <c r="G39" s="311">
        <f>-'Summary P&amp;L'!F35</f>
        <v>-5556.2328594476</v>
      </c>
      <c r="H39" s="311">
        <f>-'Summary P&amp;L'!G35</f>
        <v>-7456.1248813089</v>
      </c>
      <c r="I39" s="311">
        <f>-'Summary P&amp;L'!H35</f>
        <v>-9356.2224568686</v>
      </c>
      <c r="J39" s="311">
        <f>-'Summary P&amp;L'!I35</f>
        <v>-11256.5267851897</v>
      </c>
      <c r="K39" s="311">
        <f>-'Summary P&amp;L'!J35</f>
        <v>-14482.2147432275</v>
      </c>
      <c r="L39" s="311">
        <f>-'Summary P&amp;L'!K35</f>
        <v>-16382.9362022806</v>
      </c>
      <c r="M39" s="311">
        <f>-'Summary P&amp;L'!L35</f>
        <v>-18283.8680534156</v>
      </c>
      <c r="N39" s="311">
        <f>-'Summary P&amp;L'!M35</f>
        <v>-20185.0115239198</v>
      </c>
      <c r="O39" s="311">
        <f>-'Summary P&amp;L'!N35</f>
        <v>-22086.3678482393</v>
      </c>
      <c r="P39" s="311">
        <f>-'Summary P&amp;L'!O35</f>
        <v>-23987.9382680216</v>
      </c>
      <c r="Q39" s="311">
        <f>-'Summary P&amp;L'!P35</f>
        <v>27323.599077966</v>
      </c>
      <c r="R39" s="311">
        <f>-'Summary P&amp;L'!Q35</f>
        <v>-302658.321850771</v>
      </c>
      <c r="S39" s="311">
        <f>-'Summary P&amp;L'!R35</f>
        <v>-329319.300010074</v>
      </c>
      <c r="T39" s="311">
        <f>-'Summary P&amp;L'!S35</f>
        <v>-357129.489890959</v>
      </c>
      <c r="U39" s="311">
        <f>-'Summary P&amp;L'!T35</f>
        <v>-386151.106318587</v>
      </c>
      <c r="V39" s="279"/>
      <c r="W39" s="279"/>
      <c r="X39" s="8"/>
      <c r="Y39" s="8"/>
      <c r="Z39" s="25"/>
    </row>
    <row r="40" ht="13.15" customHeight="1">
      <c r="A40" s="23"/>
      <c r="B40" t="s" s="235">
        <v>164</v>
      </c>
      <c r="C40" s="8"/>
      <c r="D40" s="308"/>
      <c r="E40" s="311">
        <f>E39</f>
        <v>157513.587899057</v>
      </c>
      <c r="F40" s="190">
        <f>F39+E40</f>
        <v>176357.042699881</v>
      </c>
      <c r="G40" s="190">
        <f>G39+F40</f>
        <v>170800.809840433</v>
      </c>
      <c r="H40" s="190">
        <f>H39+G40</f>
        <v>163344.684959124</v>
      </c>
      <c r="I40" s="190">
        <f>I39+H40</f>
        <v>153988.462502255</v>
      </c>
      <c r="J40" s="190">
        <f>J39+I40</f>
        <v>142731.935717065</v>
      </c>
      <c r="K40" s="190">
        <f>K39+J40</f>
        <v>128249.720973838</v>
      </c>
      <c r="L40" s="190">
        <f>L39+K40</f>
        <v>111866.784771557</v>
      </c>
      <c r="M40" s="190">
        <f>M39+L40</f>
        <v>93582.916718141394</v>
      </c>
      <c r="N40" s="190">
        <f>N39+M40</f>
        <v>73397.9051942216</v>
      </c>
      <c r="O40" s="190">
        <f>O39+N40</f>
        <v>51311.5373459823</v>
      </c>
      <c r="P40" s="190">
        <f>P39+O40</f>
        <v>27323.5990779607</v>
      </c>
      <c r="Q40" s="190">
        <f>Q39</f>
        <v>27323.599077966</v>
      </c>
      <c r="R40" s="190">
        <f>R39+Q40</f>
        <v>-275334.722772805</v>
      </c>
      <c r="S40" s="190">
        <f>S39+R40</f>
        <v>-604654.022782879</v>
      </c>
      <c r="T40" s="190">
        <f>T39+S40</f>
        <v>-961783.5126738379</v>
      </c>
      <c r="U40" s="190">
        <f>U39+T40</f>
        <v>-1347934.61899243</v>
      </c>
      <c r="V40" s="279"/>
      <c r="W40" s="279"/>
      <c r="X40" s="8"/>
      <c r="Y40" s="8"/>
      <c r="Z40" s="25"/>
    </row>
    <row r="41" ht="13.5" customHeight="1">
      <c r="A41" s="23"/>
      <c r="B41" s="288"/>
      <c r="C41" s="217"/>
      <c r="D41" s="289"/>
      <c r="E41" s="289"/>
      <c r="F41" s="300"/>
      <c r="G41" s="300"/>
      <c r="H41" s="300"/>
      <c r="I41" s="300"/>
      <c r="J41" s="300"/>
      <c r="K41" s="300"/>
      <c r="L41" s="300"/>
      <c r="M41" s="300"/>
      <c r="N41" s="300"/>
      <c r="O41" s="300"/>
      <c r="P41" s="300"/>
      <c r="Q41" s="300"/>
      <c r="R41" s="300"/>
      <c r="S41" s="300"/>
      <c r="T41" s="300"/>
      <c r="U41" s="300"/>
      <c r="V41" s="279"/>
      <c r="W41" s="279"/>
      <c r="X41" s="8"/>
      <c r="Y41" s="8"/>
      <c r="Z41" s="25"/>
    </row>
    <row r="42" ht="13.5" customHeight="1">
      <c r="A42" s="260"/>
      <c r="B42" t="s" s="301">
        <v>165</v>
      </c>
      <c r="C42" s="302"/>
      <c r="D42" s="303">
        <f>D40+D36+D33+D37+D38</f>
        <v>-4138000</v>
      </c>
      <c r="E42" s="303">
        <f>E40+E36+E33+E37+E38</f>
        <v>-3944134.4886095</v>
      </c>
      <c r="F42" s="303">
        <f>F40+F36+F33+F37+F38</f>
        <v>-3919285.30547631</v>
      </c>
      <c r="G42" s="303">
        <f>G40+G36+G33+G37+G38</f>
        <v>-3918800.77658812</v>
      </c>
      <c r="H42" s="303">
        <f>H40+H36+H33+H37+H38</f>
        <v>-3920180.90194493</v>
      </c>
      <c r="I42" s="303">
        <f>I40+I36+I33+I37+I38</f>
        <v>-3923425.68154674</v>
      </c>
      <c r="J42" s="303">
        <f>J40+J36+J33+J37+J38</f>
        <v>-3928535.11539355</v>
      </c>
      <c r="K42" s="303">
        <f>K40+K36+K33+K37+K38</f>
        <v>-3936834.37915625</v>
      </c>
      <c r="L42" s="303">
        <f>L40+L36+L33+L37+L38</f>
        <v>-3946998.29716395</v>
      </c>
      <c r="M42" s="303">
        <f>M40+M36+M33+M37+M38</f>
        <v>-3959026.86941666</v>
      </c>
      <c r="N42" s="303">
        <f>N40+N36+N33+N37+N38</f>
        <v>-3972920.09591436</v>
      </c>
      <c r="O42" s="303">
        <f>O40+O36+O33+O37+O38</f>
        <v>-3988677.97665707</v>
      </c>
      <c r="P42" s="303">
        <f>P40+P36+P33+P37+P38</f>
        <v>-4006300.51164477</v>
      </c>
      <c r="Q42" s="303">
        <f>Q40+Q36+Q33+Q37+Q38</f>
        <v>-4006300.51164476</v>
      </c>
      <c r="R42" s="303">
        <f>R40+R36+R33+R37+R38</f>
        <v>-4153950.29446074</v>
      </c>
      <c r="S42" s="303">
        <f>S40+S36+S33+S37+S38</f>
        <v>-4315860.02971557</v>
      </c>
      <c r="T42" s="303">
        <f>T40+T36+T33+T37+T38</f>
        <v>-4492476.9861151</v>
      </c>
      <c r="U42" s="304">
        <f>U40+U36+U33+U37+U38</f>
        <v>-4684265.11911879</v>
      </c>
      <c r="V42" s="295"/>
      <c r="W42" s="279"/>
      <c r="X42" s="8"/>
      <c r="Y42" s="8"/>
      <c r="Z42" s="25"/>
    </row>
    <row r="43" ht="13.15" customHeight="1">
      <c r="A43" s="23"/>
      <c r="B43" s="296"/>
      <c r="C43" s="267"/>
      <c r="D43" s="297"/>
      <c r="E43" s="267"/>
      <c r="F43" s="267"/>
      <c r="G43" s="267"/>
      <c r="H43" s="267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8"/>
      <c r="W43" s="8"/>
      <c r="X43" s="8"/>
      <c r="Y43" s="8"/>
      <c r="Z43" s="25"/>
    </row>
    <row r="44" ht="13.15" customHeight="1">
      <c r="A44" s="23"/>
      <c r="B44" s="255"/>
      <c r="C44" t="s" s="312">
        <v>166</v>
      </c>
      <c r="D44" s="190">
        <f>D21+D42</f>
        <v>0</v>
      </c>
      <c r="E44" s="190">
        <f>E21+E42</f>
        <v>0</v>
      </c>
      <c r="F44" s="190">
        <f>F21+F42</f>
        <v>0</v>
      </c>
      <c r="G44" s="190">
        <f>G21+G42</f>
        <v>-2e-08</v>
      </c>
      <c r="H44" s="190">
        <f>H21+H42</f>
        <v>-2e-08</v>
      </c>
      <c r="I44" s="190">
        <f>I21+I42</f>
        <v>-2e-08</v>
      </c>
      <c r="J44" s="190">
        <f>J21+J42</f>
        <v>-2e-08</v>
      </c>
      <c r="K44" s="190">
        <f>K21+K42</f>
        <v>-2e-08</v>
      </c>
      <c r="L44" s="190">
        <f>L21+L42</f>
        <v>-1e-08</v>
      </c>
      <c r="M44" s="190">
        <f>M21+M42</f>
        <v>-2e-08</v>
      </c>
      <c r="N44" s="190">
        <f>N21+N42</f>
        <v>-1e-08</v>
      </c>
      <c r="O44" s="190">
        <f>O21+O42</f>
        <v>0</v>
      </c>
      <c r="P44" s="190">
        <f>P21+P42</f>
        <v>0</v>
      </c>
      <c r="Q44" s="190">
        <f>Q21+Q42</f>
        <v>0</v>
      </c>
      <c r="R44" s="190">
        <f>R21+R42</f>
        <v>0</v>
      </c>
      <c r="S44" s="190">
        <f>S21+S42</f>
        <v>-1e-08</v>
      </c>
      <c r="T44" s="190">
        <f>T21+T42</f>
        <v>-1e-08</v>
      </c>
      <c r="U44" s="190">
        <f>U21+U42</f>
        <v>-1e-08</v>
      </c>
      <c r="V44" s="8"/>
      <c r="W44" s="8"/>
      <c r="X44" s="8"/>
      <c r="Y44" s="8"/>
      <c r="Z44" s="25"/>
    </row>
    <row r="45" ht="13.15" customHeight="1">
      <c r="A45" s="23"/>
      <c r="B45" s="255"/>
      <c r="C45" s="8"/>
      <c r="D45" s="250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265"/>
      <c r="S45" s="8"/>
      <c r="T45" s="8"/>
      <c r="U45" s="8"/>
      <c r="V45" s="8"/>
      <c r="W45" s="8"/>
      <c r="X45" s="8"/>
      <c r="Y45" s="8"/>
      <c r="Z45" s="25"/>
    </row>
    <row r="46" ht="13.15" customHeight="1">
      <c r="A46" s="23"/>
      <c r="B46" s="255"/>
      <c r="C46" s="8"/>
      <c r="D46" s="250"/>
      <c r="E46" s="8"/>
      <c r="F46" s="265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25"/>
    </row>
    <row r="47" ht="13.15" customHeight="1">
      <c r="A47" s="23"/>
      <c r="B47" s="255"/>
      <c r="C47" s="8"/>
      <c r="D47" s="250"/>
      <c r="E47" s="8"/>
      <c r="F47" s="25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25"/>
    </row>
    <row r="48" ht="13.15" customHeight="1">
      <c r="A48" s="23"/>
      <c r="B48" s="255"/>
      <c r="C48" s="8"/>
      <c r="D48" s="250"/>
      <c r="E48" s="8"/>
      <c r="F48" s="25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25"/>
    </row>
    <row r="49" ht="13.15" customHeight="1">
      <c r="A49" s="23"/>
      <c r="B49" s="255"/>
      <c r="C49" s="8"/>
      <c r="D49" s="190"/>
      <c r="E49" s="8"/>
      <c r="F49" s="19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25"/>
    </row>
    <row r="50" ht="13.15" customHeight="1">
      <c r="A50" s="23"/>
      <c r="B50" s="8"/>
      <c r="C50" s="8"/>
      <c r="D50" s="190"/>
      <c r="E50" s="8"/>
      <c r="F50" s="19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25"/>
    </row>
    <row r="51" ht="13.15" customHeight="1">
      <c r="A51" s="23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25"/>
    </row>
    <row r="52" ht="13" customHeight="1">
      <c r="A52" s="2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25"/>
    </row>
    <row r="53" ht="13" customHeight="1">
      <c r="A53" s="205"/>
      <c r="B53" s="209"/>
      <c r="C53" s="209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10"/>
    </row>
  </sheetData>
  <pageMargins left="0" right="0.7" top="0.75" bottom="0.75" header="0.3" footer="0.3"/>
  <pageSetup firstPageNumber="1" fitToHeight="1" fitToWidth="1" scale="9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AB62"/>
  <sheetViews>
    <sheetView workbookViewId="0" showGridLines="0" defaultGridColor="1"/>
  </sheetViews>
  <sheetFormatPr defaultColWidth="9" defaultRowHeight="10.5" customHeight="1" outlineLevelRow="0" outlineLevelCol="0"/>
  <cols>
    <col min="1" max="2" width="9" style="313" customWidth="1"/>
    <col min="3" max="3" width="2.75" style="313" customWidth="1"/>
    <col min="4" max="4" width="30" style="313" customWidth="1"/>
    <col min="5" max="5" hidden="1" width="9" style="313" customWidth="1"/>
    <col min="6" max="6" width="15" style="313" customWidth="1"/>
    <col min="7" max="23" width="15.25" style="313" customWidth="1"/>
    <col min="24" max="24" width="15.5" style="313" customWidth="1"/>
    <col min="25" max="28" width="9" style="313" customWidth="1"/>
    <col min="29" max="16384" width="9" style="313" customWidth="1"/>
  </cols>
  <sheetData>
    <row r="1" ht="13.15" customHeight="1">
      <c r="A1" s="19"/>
      <c r="B1" s="21"/>
      <c r="C1" s="21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"/>
      <c r="Y1" s="21"/>
      <c r="Z1" s="21"/>
      <c r="AA1" s="21"/>
      <c r="AB1" s="22"/>
    </row>
    <row r="2" ht="13.15" customHeight="1">
      <c r="A2" s="23"/>
      <c r="B2" s="8"/>
      <c r="C2" s="8"/>
      <c r="D2" t="s" s="272">
        <v>167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8"/>
      <c r="Y2" s="8"/>
      <c r="Z2" s="8"/>
      <c r="AA2" s="8"/>
      <c r="AB2" s="25"/>
    </row>
    <row r="3" ht="13" customHeight="1">
      <c r="A3" s="23"/>
      <c r="B3" s="8"/>
      <c r="C3" s="8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8"/>
      <c r="Y3" s="8"/>
      <c r="Z3" s="8"/>
      <c r="AA3" s="8"/>
      <c r="AB3" s="25"/>
    </row>
    <row r="4" ht="10.9" customHeight="1">
      <c r="A4" s="23"/>
      <c r="B4" s="8"/>
      <c r="C4" s="8"/>
      <c r="D4" s="8"/>
      <c r="E4" s="8"/>
      <c r="F4" s="8"/>
      <c r="G4" s="21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25"/>
    </row>
    <row r="5" ht="13.5" customHeight="1">
      <c r="A5" s="23"/>
      <c r="B5" s="8"/>
      <c r="C5" s="8"/>
      <c r="D5" s="314"/>
      <c r="E5" s="8"/>
      <c r="F5" s="315"/>
      <c r="G5" t="s" s="220">
        <v>29</v>
      </c>
      <c r="H5" s="221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8"/>
      <c r="Y5" s="8"/>
      <c r="Z5" s="8"/>
      <c r="AA5" s="8"/>
      <c r="AB5" s="25"/>
    </row>
    <row r="6" ht="13.5" customHeight="1">
      <c r="A6" s="23"/>
      <c r="B6" s="8"/>
      <c r="C6" s="8"/>
      <c r="D6" s="218"/>
      <c r="E6" t="s" s="225">
        <v>113</v>
      </c>
      <c r="F6" t="s" s="225">
        <v>140</v>
      </c>
      <c r="G6" t="s" s="225">
        <v>31</v>
      </c>
      <c r="H6" s="226">
        <v>45139</v>
      </c>
      <c r="I6" s="226">
        <v>45170</v>
      </c>
      <c r="J6" s="226">
        <v>45200</v>
      </c>
      <c r="K6" s="226">
        <v>45231</v>
      </c>
      <c r="L6" s="226">
        <v>45261</v>
      </c>
      <c r="M6" s="226">
        <v>45292</v>
      </c>
      <c r="N6" s="226">
        <v>45323</v>
      </c>
      <c r="O6" s="226">
        <v>45352</v>
      </c>
      <c r="P6" s="226">
        <v>45383</v>
      </c>
      <c r="Q6" s="226">
        <v>45413</v>
      </c>
      <c r="R6" s="226">
        <v>45444</v>
      </c>
      <c r="S6" t="s" s="227">
        <v>114</v>
      </c>
      <c r="T6" s="274">
        <v>45444</v>
      </c>
      <c r="U6" s="274">
        <v>45809</v>
      </c>
      <c r="V6" s="274">
        <v>46174</v>
      </c>
      <c r="W6" s="275">
        <v>46539</v>
      </c>
      <c r="X6" s="264"/>
      <c r="Y6" s="8"/>
      <c r="Z6" s="8"/>
      <c r="AA6" s="8"/>
      <c r="AB6" s="25"/>
    </row>
    <row r="7" ht="13.15" customHeight="1">
      <c r="A7" s="23"/>
      <c r="B7" s="8"/>
      <c r="C7" s="8"/>
      <c r="D7" s="255"/>
      <c r="E7" s="296"/>
      <c r="F7" t="s" s="231">
        <v>115</v>
      </c>
      <c r="G7" t="s" s="231">
        <v>115</v>
      </c>
      <c r="H7" t="s" s="231">
        <v>115</v>
      </c>
      <c r="I7" t="s" s="231">
        <v>115</v>
      </c>
      <c r="J7" t="s" s="231">
        <v>115</v>
      </c>
      <c r="K7" t="s" s="231">
        <v>115</v>
      </c>
      <c r="L7" t="s" s="231">
        <v>115</v>
      </c>
      <c r="M7" t="s" s="231">
        <v>115</v>
      </c>
      <c r="N7" t="s" s="231">
        <v>115</v>
      </c>
      <c r="O7" t="s" s="231">
        <v>115</v>
      </c>
      <c r="P7" t="s" s="231">
        <v>115</v>
      </c>
      <c r="Q7" t="s" s="231">
        <v>115</v>
      </c>
      <c r="R7" t="s" s="231">
        <v>115</v>
      </c>
      <c r="S7" t="s" s="231">
        <v>115</v>
      </c>
      <c r="T7" t="s" s="231">
        <v>115</v>
      </c>
      <c r="U7" t="s" s="231">
        <v>115</v>
      </c>
      <c r="V7" t="s" s="231">
        <v>115</v>
      </c>
      <c r="W7" t="s" s="231">
        <v>115</v>
      </c>
      <c r="X7" s="8"/>
      <c r="Y7" s="8"/>
      <c r="Z7" s="8"/>
      <c r="AA7" s="8"/>
      <c r="AB7" s="25"/>
    </row>
    <row r="8" ht="13.15" customHeight="1">
      <c r="A8" s="23"/>
      <c r="B8" s="8"/>
      <c r="C8" s="8"/>
      <c r="D8" s="232"/>
      <c r="E8" s="233"/>
      <c r="F8" s="233"/>
      <c r="G8" s="233"/>
      <c r="H8" s="233"/>
      <c r="I8" s="233"/>
      <c r="J8" s="233"/>
      <c r="K8" s="232"/>
      <c r="L8" s="232"/>
      <c r="M8" s="232"/>
      <c r="N8" s="232"/>
      <c r="O8" s="232"/>
      <c r="P8" s="232"/>
      <c r="Q8" s="232"/>
      <c r="R8" s="232"/>
      <c r="S8" s="234"/>
      <c r="T8" s="234"/>
      <c r="U8" s="234"/>
      <c r="V8" s="234"/>
      <c r="W8" s="234"/>
      <c r="X8" s="234"/>
      <c r="Y8" s="8"/>
      <c r="Z8" s="8"/>
      <c r="AA8" s="8"/>
      <c r="AB8" s="25"/>
    </row>
    <row r="9" ht="13.15" customHeight="1">
      <c r="A9" s="23"/>
      <c r="B9" s="8"/>
      <c r="C9" s="8"/>
      <c r="D9" t="s" s="235">
        <v>168</v>
      </c>
      <c r="E9" s="316"/>
      <c r="F9" s="237">
        <v>0</v>
      </c>
      <c r="G9" s="237">
        <f>'Summary P&amp;L'!D35</f>
        <v>-157513.587899057</v>
      </c>
      <c r="H9" s="237">
        <f>'Summary P&amp;L'!E35</f>
        <v>-18843.4548008244</v>
      </c>
      <c r="I9" s="237">
        <f>'Summary P&amp;L'!F35</f>
        <v>5556.2328594476</v>
      </c>
      <c r="J9" s="237">
        <f>'Summary P&amp;L'!G35</f>
        <v>7456.1248813089</v>
      </c>
      <c r="K9" s="237">
        <f>'Summary P&amp;L'!H35</f>
        <v>9356.2224568686</v>
      </c>
      <c r="L9" s="237">
        <f>'Summary P&amp;L'!I35</f>
        <v>11256.5267851897</v>
      </c>
      <c r="M9" s="237">
        <f>'Summary P&amp;L'!J35</f>
        <v>14482.2147432275</v>
      </c>
      <c r="N9" s="237">
        <f>'Summary P&amp;L'!K35</f>
        <v>16382.9362022806</v>
      </c>
      <c r="O9" s="237">
        <f>'Summary P&amp;L'!L35</f>
        <v>18283.8680534156</v>
      </c>
      <c r="P9" s="237">
        <f>'Summary P&amp;L'!M35</f>
        <v>20185.0115239198</v>
      </c>
      <c r="Q9" s="237">
        <f>'Summary P&amp;L'!N35</f>
        <v>22086.3678482393</v>
      </c>
      <c r="R9" s="237">
        <f>'Summary P&amp;L'!O35</f>
        <v>23987.9382680216</v>
      </c>
      <c r="S9" s="237">
        <f>'Summary P&amp;L'!P35</f>
        <v>-27323.599077966</v>
      </c>
      <c r="T9" s="237">
        <f>'Summary P&amp;L'!Q35</f>
        <v>302658.321850771</v>
      </c>
      <c r="U9" s="237">
        <f>'Summary P&amp;L'!R35</f>
        <v>329319.300010074</v>
      </c>
      <c r="V9" s="237">
        <f>'Summary P&amp;L'!S35</f>
        <v>357129.489890959</v>
      </c>
      <c r="W9" s="237">
        <f>'Summary P&amp;L'!T35</f>
        <v>386151.106318587</v>
      </c>
      <c r="X9" s="317"/>
      <c r="Y9" s="317"/>
      <c r="Z9" s="8"/>
      <c r="AA9" s="8"/>
      <c r="AB9" s="25"/>
    </row>
    <row r="10" ht="13.15" customHeight="1">
      <c r="A10" s="23"/>
      <c r="B10" s="8"/>
      <c r="C10" s="8"/>
      <c r="D10" s="255"/>
      <c r="E10" s="316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317"/>
      <c r="Y10" s="280"/>
      <c r="Z10" s="8"/>
      <c r="AA10" s="8"/>
      <c r="AB10" s="25"/>
    </row>
    <row r="11" ht="13.15" customHeight="1">
      <c r="A11" s="23"/>
      <c r="B11" s="8"/>
      <c r="C11" s="8"/>
      <c r="D11" t="s" s="235">
        <v>169</v>
      </c>
      <c r="E11" s="316"/>
      <c r="F11" s="318">
        <v>0</v>
      </c>
      <c r="G11" s="318">
        <f>'Note D - PPE'!D43</f>
        <v>18002.380952381</v>
      </c>
      <c r="H11" s="318">
        <f>'Note D - PPE'!E43</f>
        <v>18031.9711416328</v>
      </c>
      <c r="I11" s="318">
        <f>'Note D - PPE'!F43</f>
        <v>18032.8808966328</v>
      </c>
      <c r="J11" s="318">
        <f>'Note D - PPE'!G43</f>
        <v>18033.7906516328</v>
      </c>
      <c r="K11" s="318">
        <f>'Note D - PPE'!H43</f>
        <v>18034.7004066328</v>
      </c>
      <c r="L11" s="318">
        <f>'Note D - PPE'!I43</f>
        <v>18035.6101616328</v>
      </c>
      <c r="M11" s="318">
        <f>'Note D - PPE'!J43</f>
        <v>18037.0935253179</v>
      </c>
      <c r="N11" s="318">
        <f>'Note D - PPE'!K43</f>
        <v>18038.0032803179</v>
      </c>
      <c r="O11" s="318">
        <f>'Note D - PPE'!L43</f>
        <v>18038.9130353179</v>
      </c>
      <c r="P11" s="318">
        <f>'Note D - PPE'!M43</f>
        <v>18039.8227903179</v>
      </c>
      <c r="Q11" s="318">
        <f>'Note D - PPE'!N43</f>
        <v>18040.7325453179</v>
      </c>
      <c r="R11" s="318">
        <f>'Note D - PPE'!O43</f>
        <v>18041.6423003179</v>
      </c>
      <c r="S11" s="318">
        <f>'Note D - PPE'!P43</f>
        <v>216407.541687452</v>
      </c>
      <c r="T11" s="318">
        <f>'Note D - PPE'!Q43</f>
        <v>227766.352361703</v>
      </c>
      <c r="U11" s="318">
        <f>'Note D - PPE'!R43</f>
        <v>228189.754777166</v>
      </c>
      <c r="V11" s="318">
        <f>'Note D - PPE'!S43</f>
        <v>228636.716984681</v>
      </c>
      <c r="W11" s="318">
        <f>'Note D - PPE'!T43</f>
        <v>229108.917519591</v>
      </c>
      <c r="X11" s="317"/>
      <c r="Y11" s="317"/>
      <c r="Z11" s="8"/>
      <c r="AA11" s="8"/>
      <c r="AB11" s="25"/>
    </row>
    <row r="12" ht="13.15" customHeight="1">
      <c r="A12" s="23"/>
      <c r="B12" s="8"/>
      <c r="C12" s="8"/>
      <c r="D12" s="255"/>
      <c r="E12" s="316"/>
      <c r="F12" s="316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2"/>
      <c r="S12" s="242"/>
      <c r="T12" s="242"/>
      <c r="U12" s="242"/>
      <c r="V12" s="242"/>
      <c r="W12" s="242"/>
      <c r="X12" s="279"/>
      <c r="Y12" s="280"/>
      <c r="Z12" s="8"/>
      <c r="AA12" s="8"/>
      <c r="AB12" s="25"/>
    </row>
    <row r="13" ht="13.15" customHeight="1">
      <c r="A13" s="23"/>
      <c r="B13" s="8"/>
      <c r="C13" s="8"/>
      <c r="D13" t="s" s="235">
        <v>170</v>
      </c>
      <c r="E13" s="316"/>
      <c r="F13" s="318">
        <f>-'Balance Sheet'!D19</f>
        <v>-62208</v>
      </c>
      <c r="G13" s="318">
        <f>'Balance Sheet'!D19-'Balance Sheet'!E19</f>
        <v>1555.2</v>
      </c>
      <c r="H13" s="318">
        <f>'Balance Sheet'!E19-'Balance Sheet'!F19</f>
        <v>259.2</v>
      </c>
      <c r="I13" s="318">
        <f>'Balance Sheet'!F19-'Balance Sheet'!G19</f>
        <v>259.2</v>
      </c>
      <c r="J13" s="318">
        <f>'Balance Sheet'!G19-'Balance Sheet'!H19</f>
        <v>259.2</v>
      </c>
      <c r="K13" s="318">
        <f>'Balance Sheet'!H19-'Balance Sheet'!I19</f>
        <v>259.2</v>
      </c>
      <c r="L13" s="318">
        <f>'Balance Sheet'!I19-'Balance Sheet'!J19</f>
        <v>259.2</v>
      </c>
      <c r="M13" s="318">
        <f>'Balance Sheet'!J19-'Balance Sheet'!K19</f>
        <v>259.2</v>
      </c>
      <c r="N13" s="318">
        <f>'Balance Sheet'!K19-'Balance Sheet'!L19</f>
        <v>259.2</v>
      </c>
      <c r="O13" s="318">
        <f>'Balance Sheet'!L19-'Balance Sheet'!M19</f>
        <v>259.2</v>
      </c>
      <c r="P13" s="318">
        <f>'Balance Sheet'!M19-'Balance Sheet'!N19</f>
        <v>259.2</v>
      </c>
      <c r="Q13" s="318">
        <f>'Balance Sheet'!N19-'Balance Sheet'!O19</f>
        <v>259.2</v>
      </c>
      <c r="R13" s="318">
        <f>'Balance Sheet'!O19-'Balance Sheet'!P19</f>
        <v>259.2</v>
      </c>
      <c r="S13" s="318">
        <f>SUM(G13:R13)</f>
        <v>4406.4</v>
      </c>
      <c r="T13" s="318">
        <f>'Balance Sheet'!Q19-'Balance Sheet'!R19</f>
        <v>3110.4</v>
      </c>
      <c r="U13" s="318">
        <f>'Balance Sheet'!R19-'Balance Sheet'!S19</f>
        <v>3110.4</v>
      </c>
      <c r="V13" s="318">
        <f>'Balance Sheet'!S19-'Balance Sheet'!T19</f>
        <v>3110.4</v>
      </c>
      <c r="W13" s="318">
        <f>'Balance Sheet'!T19-'Balance Sheet'!U19</f>
        <v>3110.4</v>
      </c>
      <c r="X13" s="279"/>
      <c r="Y13" s="280"/>
      <c r="Z13" s="8"/>
      <c r="AA13" s="8"/>
      <c r="AB13" s="25"/>
    </row>
    <row r="14" ht="13.15" customHeight="1">
      <c r="A14" s="23"/>
      <c r="B14" s="8"/>
      <c r="C14" s="8"/>
      <c r="D14" s="255"/>
      <c r="E14" s="316"/>
      <c r="F14" s="316"/>
      <c r="G14" s="242"/>
      <c r="H14" s="242"/>
      <c r="I14" s="242"/>
      <c r="J14" s="242"/>
      <c r="K14" s="242"/>
      <c r="L14" s="242"/>
      <c r="M14" s="242"/>
      <c r="N14" s="242"/>
      <c r="O14" s="242"/>
      <c r="P14" s="242"/>
      <c r="Q14" s="242"/>
      <c r="R14" s="242"/>
      <c r="S14" s="242"/>
      <c r="T14" s="242"/>
      <c r="U14" s="242"/>
      <c r="V14" s="242"/>
      <c r="W14" s="242"/>
      <c r="X14" s="279"/>
      <c r="Y14" s="280"/>
      <c r="Z14" s="8"/>
      <c r="AA14" s="8"/>
      <c r="AB14" s="25"/>
    </row>
    <row r="15" ht="13.15" customHeight="1">
      <c r="A15" s="23"/>
      <c r="B15" s="8"/>
      <c r="C15" s="8"/>
      <c r="D15" t="s" s="282">
        <v>171</v>
      </c>
      <c r="E15" s="319"/>
      <c r="F15" s="319">
        <f>SUM(F9:F14)</f>
        <v>-62208</v>
      </c>
      <c r="G15" s="319">
        <f>SUM(G9:G14)</f>
        <v>-137956.006946676</v>
      </c>
      <c r="H15" s="319">
        <f>SUM(H9:H14)</f>
        <v>-552.2836591916</v>
      </c>
      <c r="I15" s="319">
        <f>SUM(I9:I14)</f>
        <v>23848.3137560804</v>
      </c>
      <c r="J15" s="319">
        <f>SUM(J9:J14)</f>
        <v>25749.1155329417</v>
      </c>
      <c r="K15" s="319">
        <f>SUM(K9:K14)</f>
        <v>27650.1228635014</v>
      </c>
      <c r="L15" s="319">
        <f>SUM(L9:L14)</f>
        <v>29551.3369468225</v>
      </c>
      <c r="M15" s="319">
        <f>SUM(M9:M14)</f>
        <v>32778.5082685454</v>
      </c>
      <c r="N15" s="319">
        <f>SUM(N9:N14)</f>
        <v>34680.1394825985</v>
      </c>
      <c r="O15" s="319">
        <f>SUM(O9:O14)</f>
        <v>36581.9810887335</v>
      </c>
      <c r="P15" s="319">
        <f>SUM(P9:P14)</f>
        <v>38484.0343142377</v>
      </c>
      <c r="Q15" s="319">
        <f>SUM(Q9:Q14)</f>
        <v>40386.3003935572</v>
      </c>
      <c r="R15" s="319">
        <f>SUM(R9:R14)</f>
        <v>42288.7805683395</v>
      </c>
      <c r="S15" s="319">
        <f>SUM(S9:S14)</f>
        <v>193490.342609486</v>
      </c>
      <c r="T15" s="319">
        <f>SUM(T9:T14)</f>
        <v>533535.0742124741</v>
      </c>
      <c r="U15" s="319">
        <f>SUM(U9:U14)</f>
        <v>560619.45478724</v>
      </c>
      <c r="V15" s="319">
        <f>SUM(V9:V14)</f>
        <v>588876.60687564</v>
      </c>
      <c r="W15" s="319">
        <f>SUM(W9:W14)</f>
        <v>618370.423838178</v>
      </c>
      <c r="X15" s="320"/>
      <c r="Y15" s="317"/>
      <c r="Z15" s="8"/>
      <c r="AA15" s="8"/>
      <c r="AB15" s="25"/>
    </row>
    <row r="16" ht="13.15" customHeight="1">
      <c r="A16" s="23"/>
      <c r="B16" s="8"/>
      <c r="C16" s="8"/>
      <c r="D16" s="255"/>
      <c r="E16" s="316"/>
      <c r="F16" s="316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242"/>
      <c r="S16" s="242"/>
      <c r="T16" s="242"/>
      <c r="U16" s="242"/>
      <c r="V16" s="242"/>
      <c r="W16" s="242"/>
      <c r="X16" s="279"/>
      <c r="Y16" s="280"/>
      <c r="Z16" s="8"/>
      <c r="AA16" s="8"/>
      <c r="AB16" s="25"/>
    </row>
    <row r="17" ht="13.15" customHeight="1">
      <c r="A17" s="23"/>
      <c r="B17" s="8"/>
      <c r="C17" s="8"/>
      <c r="D17" t="s" s="235">
        <v>172</v>
      </c>
      <c r="E17" s="316"/>
      <c r="F17" s="316"/>
      <c r="G17" s="242"/>
      <c r="H17" s="242"/>
      <c r="I17" s="242"/>
      <c r="J17" s="242"/>
      <c r="K17" s="242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V17" s="242"/>
      <c r="W17" s="242"/>
      <c r="X17" s="279"/>
      <c r="Y17" s="280"/>
      <c r="Z17" s="8"/>
      <c r="AA17" s="8"/>
      <c r="AB17" s="25"/>
    </row>
    <row r="18" ht="13.15" customHeight="1">
      <c r="A18" s="23"/>
      <c r="B18" s="8"/>
      <c r="C18" s="8"/>
      <c r="D18" t="s" s="282">
        <v>173</v>
      </c>
      <c r="E18" s="319"/>
      <c r="F18" s="319"/>
      <c r="G18" s="321">
        <f>-'Note D - PPE'!D28</f>
        <v>-3663000</v>
      </c>
      <c r="H18" s="321">
        <f>-'Note D - PPE'!E25</f>
        <v>-2485.575897153050</v>
      </c>
      <c r="I18" s="321">
        <f>-'Note D - PPE'!F25</f>
        <v>-2561.995317153050</v>
      </c>
      <c r="J18" s="321">
        <f>-'Note D - PPE'!G25</f>
        <v>-2638.414737153050</v>
      </c>
      <c r="K18" s="321">
        <f>-'Note D - PPE'!H25</f>
        <v>-2714.834157153050</v>
      </c>
      <c r="L18" s="321">
        <f>-'Note D - PPE'!I25</f>
        <v>-2791.253577153050</v>
      </c>
      <c r="M18" s="321">
        <f>-'Note D - PPE'!J25</f>
        <v>-2915.856126696120</v>
      </c>
      <c r="N18" s="321">
        <f>-'Note D - PPE'!K25</f>
        <v>-2992.275546696120</v>
      </c>
      <c r="O18" s="321">
        <f>-'Note D - PPE'!L25</f>
        <v>-3068.694966696120</v>
      </c>
      <c r="P18" s="321">
        <f>-'Note D - PPE'!M25</f>
        <v>-3145.114386696120</v>
      </c>
      <c r="Q18" s="321">
        <f>-'Note D - PPE'!N25</f>
        <v>-3221.533806696120</v>
      </c>
      <c r="R18" s="321">
        <f>-'Note D - PPE'!O25</f>
        <v>-3297.953226696120</v>
      </c>
      <c r="S18" s="321">
        <f>SUM(G18:R18)</f>
        <v>-3694833.50174594</v>
      </c>
      <c r="T18" s="321">
        <f>-'Note D - PPE'!Q25</f>
        <v>-82164.4665319206</v>
      </c>
      <c r="U18" s="321">
        <f>-'Note D - PPE'!R25</f>
        <v>-85128.2834401596</v>
      </c>
      <c r="V18" s="321">
        <f>-'Note D - PPE'!S25</f>
        <v>-88257.0188927706</v>
      </c>
      <c r="W18" s="321">
        <f>-'Note D - PPE'!T25</f>
        <v>-91562.4226371384</v>
      </c>
      <c r="X18" s="279"/>
      <c r="Y18" s="280"/>
      <c r="Z18" s="8"/>
      <c r="AA18" s="8"/>
      <c r="AB18" s="25"/>
    </row>
    <row r="19" ht="13.15" customHeight="1">
      <c r="A19" s="23"/>
      <c r="B19" s="8"/>
      <c r="C19" s="8"/>
      <c r="D19" s="255"/>
      <c r="E19" s="316"/>
      <c r="F19" s="316"/>
      <c r="G19" s="242"/>
      <c r="H19" s="242"/>
      <c r="I19" s="242"/>
      <c r="J19" s="242"/>
      <c r="K19" s="242"/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79"/>
      <c r="Y19" s="280"/>
      <c r="Z19" s="8"/>
      <c r="AA19" s="8"/>
      <c r="AB19" s="25"/>
    </row>
    <row r="20" ht="13.15" customHeight="1">
      <c r="A20" s="23"/>
      <c r="B20" s="8"/>
      <c r="C20" s="8"/>
      <c r="D20" t="s" s="235">
        <v>174</v>
      </c>
      <c r="E20" s="316"/>
      <c r="F20" s="278"/>
      <c r="G20" s="237"/>
      <c r="H20" s="237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317"/>
      <c r="Y20" s="280"/>
      <c r="Z20" s="8"/>
      <c r="AA20" s="8"/>
      <c r="AB20" s="25"/>
    </row>
    <row r="21" ht="13.15" customHeight="1">
      <c r="A21" s="23"/>
      <c r="B21" s="8"/>
      <c r="C21" s="8"/>
      <c r="D21" t="s" s="322">
        <v>175</v>
      </c>
      <c r="E21" s="316"/>
      <c r="F21" s="278">
        <f>'Key Assumptions &amp; Drivers'!D98</f>
        <v>3110400</v>
      </c>
      <c r="G21" s="237"/>
      <c r="H21" s="237"/>
      <c r="I21" s="237"/>
      <c r="J21" s="237"/>
      <c r="K21" s="237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317"/>
      <c r="Y21" s="280"/>
      <c r="Z21" s="8"/>
      <c r="AA21" s="8"/>
      <c r="AB21" s="25"/>
    </row>
    <row r="22" ht="13.15" customHeight="1">
      <c r="A22" s="23"/>
      <c r="B22" s="8"/>
      <c r="C22" s="8"/>
      <c r="D22" t="s" s="235">
        <v>176</v>
      </c>
      <c r="E22" s="316"/>
      <c r="F22" s="278"/>
      <c r="G22" s="237">
        <f>-SUM('Note E - Loan Amortization'!H20:H25)</f>
        <v>-36351.9234914431</v>
      </c>
      <c r="H22" s="237">
        <f>-'Note E - Loan Amortization'!H21</f>
        <v>-6005.7283323682</v>
      </c>
      <c r="I22" s="237">
        <f>-'Note E - Loan Amortization'!H22</f>
        <v>-6040.7617476403</v>
      </c>
      <c r="J22" s="237">
        <f>-'Note E - Loan Amortization'!H23</f>
        <v>-6075.9995245016</v>
      </c>
      <c r="K22" s="237">
        <f>-'Note E - Loan Amortization'!H24</f>
        <v>-6111.4428550612</v>
      </c>
      <c r="L22" s="237">
        <f>-'Note E - Loan Amortization'!H25</f>
        <v>-6147.0929383823</v>
      </c>
      <c r="M22" s="237">
        <f>-'Note E - Loan Amortization'!H26</f>
        <v>-6182.9509805229</v>
      </c>
      <c r="N22" s="237">
        <f>-'Note E - Loan Amortization'!H27</f>
        <v>-6219.0181945759</v>
      </c>
      <c r="O22" s="237">
        <f>-'Note E - Loan Amortization'!H28</f>
        <v>-6255.295800711</v>
      </c>
      <c r="P22" s="237">
        <f>-'Note E - Loan Amortization'!H29</f>
        <v>-6291.7850262151</v>
      </c>
      <c r="Q22" s="237">
        <f>-'Note E - Loan Amortization'!H30</f>
        <v>-6328.4871055347</v>
      </c>
      <c r="R22" s="237">
        <f>-'Note E - Loan Amortization'!H31</f>
        <v>-6365.403280317</v>
      </c>
      <c r="S22" s="237">
        <f>SUM(G22:R22)</f>
        <v>-104375.889277273</v>
      </c>
      <c r="T22" s="237">
        <f>-'Note E - Loan Amortization'!L43</f>
        <v>-79343.9585721022</v>
      </c>
      <c r="U22" s="237">
        <f>-'Note E - Loan Amortization'!L55</f>
        <v>-85079.739752733207</v>
      </c>
      <c r="V22" s="237">
        <f>-'Note E - Loan Amortization'!L67</f>
        <v>-91230.161018686107</v>
      </c>
      <c r="W22" s="237">
        <f>-'Note E - Loan Amortization'!L79</f>
        <v>-97825.1967352542</v>
      </c>
      <c r="X22" s="317"/>
      <c r="Y22" s="317"/>
      <c r="Z22" s="8"/>
      <c r="AA22" s="8"/>
      <c r="AB22" s="25"/>
    </row>
    <row r="23" ht="13.15" customHeight="1">
      <c r="A23" s="23"/>
      <c r="B23" s="8"/>
      <c r="C23" s="8"/>
      <c r="D23" t="s" s="282">
        <v>177</v>
      </c>
      <c r="E23" s="319"/>
      <c r="F23" s="319">
        <f>SUM(F21:F22)</f>
        <v>3110400</v>
      </c>
      <c r="G23" s="319">
        <f>G22+G21</f>
        <v>-36351.9234914431</v>
      </c>
      <c r="H23" s="319">
        <f>H22+H21</f>
        <v>-6005.7283323682</v>
      </c>
      <c r="I23" s="319">
        <f>I22+I21</f>
        <v>-6040.7617476403</v>
      </c>
      <c r="J23" s="319">
        <f>J22+J21</f>
        <v>-6075.9995245016</v>
      </c>
      <c r="K23" s="319">
        <f>K22+K21</f>
        <v>-6111.4428550612</v>
      </c>
      <c r="L23" s="319">
        <f>L22+L21</f>
        <v>-6147.0929383823</v>
      </c>
      <c r="M23" s="319">
        <f>M22+M21</f>
        <v>-6182.9509805229</v>
      </c>
      <c r="N23" s="319">
        <f>N22+N21</f>
        <v>-6219.0181945759</v>
      </c>
      <c r="O23" s="319">
        <f>O22+O21</f>
        <v>-6255.295800711</v>
      </c>
      <c r="P23" s="319">
        <f>P22+P21</f>
        <v>-6291.7850262151</v>
      </c>
      <c r="Q23" s="319">
        <f>Q22+Q21</f>
        <v>-6328.4871055347</v>
      </c>
      <c r="R23" s="319">
        <f>R22+R21</f>
        <v>-6365.403280317</v>
      </c>
      <c r="S23" s="319">
        <f>S22+S21</f>
        <v>-104375.889277273</v>
      </c>
      <c r="T23" s="319">
        <f>T22+T21</f>
        <v>-79343.9585721022</v>
      </c>
      <c r="U23" s="319">
        <f>U22+U21</f>
        <v>-85079.739752733207</v>
      </c>
      <c r="V23" s="319">
        <f>V22+V21</f>
        <v>-91230.161018686107</v>
      </c>
      <c r="W23" s="319">
        <f>W22+W21</f>
        <v>-97825.1967352542</v>
      </c>
      <c r="X23" s="279"/>
      <c r="Y23" s="280"/>
      <c r="Z23" s="8"/>
      <c r="AA23" s="8"/>
      <c r="AB23" s="25"/>
    </row>
    <row r="24" ht="13.15" customHeight="1">
      <c r="A24" s="23"/>
      <c r="B24" s="8"/>
      <c r="C24" s="8"/>
      <c r="D24" s="255"/>
      <c r="E24" s="316"/>
      <c r="F24" s="316"/>
      <c r="G24" s="242"/>
      <c r="H24" s="242"/>
      <c r="I24" s="242"/>
      <c r="J24" s="242"/>
      <c r="K24" s="242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79"/>
      <c r="Y24" s="280"/>
      <c r="Z24" s="8"/>
      <c r="AA24" s="8"/>
      <c r="AB24" s="25"/>
    </row>
    <row r="25" ht="13.15" customHeight="1">
      <c r="A25" s="23"/>
      <c r="B25" s="8"/>
      <c r="C25" s="8"/>
      <c r="D25" t="s" s="282">
        <v>178</v>
      </c>
      <c r="E25" t="s" s="323">
        <v>179</v>
      </c>
      <c r="F25" s="321">
        <f>-'Balance Sheet'!D36</f>
        <v>1027600</v>
      </c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>
        <f>-'Balance Sheet'!P37</f>
        <v>0</v>
      </c>
      <c r="S25" s="321">
        <f>-'Balance Sheet'!Q37</f>
        <v>0</v>
      </c>
      <c r="T25" s="321">
        <f>-'Balance Sheet'!R37</f>
        <v>-75664.5804626928</v>
      </c>
      <c r="U25" s="321">
        <f>-'Balance Sheet'!S37</f>
        <v>-82329.8250025185</v>
      </c>
      <c r="V25" s="321">
        <f>-'Balance Sheet'!T37</f>
        <v>-89282.372472739793</v>
      </c>
      <c r="W25" s="321">
        <f>-'Balance Sheet'!U37</f>
        <v>-96537.7765796468</v>
      </c>
      <c r="X25" s="279"/>
      <c r="Y25" s="280"/>
      <c r="Z25" s="8"/>
      <c r="AA25" s="8"/>
      <c r="AB25" s="25"/>
    </row>
    <row r="26" ht="13.5" customHeight="1">
      <c r="A26" s="23"/>
      <c r="B26" s="8"/>
      <c r="C26" s="8"/>
      <c r="D26" s="288"/>
      <c r="E26" s="324"/>
      <c r="F26" t="s" s="325">
        <v>180</v>
      </c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t="s" s="325">
        <v>181</v>
      </c>
      <c r="T26" t="s" s="325">
        <v>181</v>
      </c>
      <c r="U26" t="s" s="325">
        <v>181</v>
      </c>
      <c r="V26" t="s" s="325">
        <v>181</v>
      </c>
      <c r="W26" t="s" s="325">
        <v>181</v>
      </c>
      <c r="X26" s="279"/>
      <c r="Y26" s="280"/>
      <c r="Z26" s="8"/>
      <c r="AA26" s="8"/>
      <c r="AB26" s="25"/>
    </row>
    <row r="27" ht="13.5" customHeight="1">
      <c r="A27" s="23"/>
      <c r="B27" s="8"/>
      <c r="C27" s="326"/>
      <c r="D27" t="s" s="327">
        <v>182</v>
      </c>
      <c r="E27" s="328"/>
      <c r="F27" s="328">
        <f>F25+F23+F15</f>
        <v>4075792</v>
      </c>
      <c r="G27" s="328">
        <f>G15+G18+G23+G25</f>
        <v>-3837307.93043812</v>
      </c>
      <c r="H27" s="328">
        <f>H15+H18+H23+H25</f>
        <v>-9043.587888712849</v>
      </c>
      <c r="I27" s="328">
        <f>I15+I18+I23+I25</f>
        <v>15245.5566912871</v>
      </c>
      <c r="J27" s="328">
        <f>J15+J18+J23+J25</f>
        <v>17034.7012712871</v>
      </c>
      <c r="K27" s="328">
        <f>K15+K18+K23+K25</f>
        <v>18823.8458512872</v>
      </c>
      <c r="L27" s="328">
        <f>L15+L18+L23+L25</f>
        <v>20612.9904312872</v>
      </c>
      <c r="M27" s="328">
        <f>M15+M18+M23+M25</f>
        <v>23679.7011613264</v>
      </c>
      <c r="N27" s="328">
        <f>N15+N18+N23+N25</f>
        <v>25468.8457413265</v>
      </c>
      <c r="O27" s="328">
        <f>O15+O18+O23+O25</f>
        <v>27257.9903213264</v>
      </c>
      <c r="P27" s="328">
        <f>P15+P18+P23+P25</f>
        <v>29047.1349013265</v>
      </c>
      <c r="Q27" s="328">
        <f>Q15+Q18+Q23+Q25</f>
        <v>30836.2794813264</v>
      </c>
      <c r="R27" s="328">
        <f>R15+R18+R23+R25</f>
        <v>32625.4240613264</v>
      </c>
      <c r="S27" s="328">
        <f>S15+S18+S23+S25</f>
        <v>-3605719.04841373</v>
      </c>
      <c r="T27" s="328">
        <f>T15+T18+T23+T25</f>
        <v>296362.068645758</v>
      </c>
      <c r="U27" s="328">
        <f>U15+U18+U23+U25</f>
        <v>308081.606591829</v>
      </c>
      <c r="V27" s="328">
        <f>V15+V18+V23+V25</f>
        <v>320107.054491444</v>
      </c>
      <c r="W27" s="329">
        <f>W15+W18+W23+W25</f>
        <v>332445.027886139</v>
      </c>
      <c r="X27" s="295"/>
      <c r="Y27" s="280"/>
      <c r="Z27" s="8"/>
      <c r="AA27" s="8"/>
      <c r="AB27" s="25"/>
    </row>
    <row r="28" ht="13.5" customHeight="1">
      <c r="A28" s="23"/>
      <c r="B28" s="8"/>
      <c r="C28" s="8"/>
      <c r="D28" s="330"/>
      <c r="E28" s="331"/>
      <c r="F28" s="331"/>
      <c r="G28" s="331"/>
      <c r="H28" s="331"/>
      <c r="I28" s="331"/>
      <c r="J28" s="331"/>
      <c r="K28" s="331"/>
      <c r="L28" s="331"/>
      <c r="M28" s="331"/>
      <c r="N28" s="331"/>
      <c r="O28" s="331"/>
      <c r="P28" s="331"/>
      <c r="Q28" s="331"/>
      <c r="R28" s="331"/>
      <c r="S28" s="331"/>
      <c r="T28" s="331"/>
      <c r="U28" s="331"/>
      <c r="V28" s="331"/>
      <c r="W28" s="331"/>
      <c r="X28" s="279"/>
      <c r="Y28" s="280"/>
      <c r="Z28" s="8"/>
      <c r="AA28" s="8"/>
      <c r="AB28" s="25"/>
    </row>
    <row r="29" ht="13.5" customHeight="1">
      <c r="A29" s="23"/>
      <c r="B29" s="8"/>
      <c r="C29" s="326"/>
      <c r="D29" t="s" s="327">
        <v>183</v>
      </c>
      <c r="E29" s="328"/>
      <c r="F29" s="328">
        <f>F27+E9</f>
        <v>4075792</v>
      </c>
      <c r="G29" s="328">
        <f>G27+F29</f>
        <v>238484.06956188</v>
      </c>
      <c r="H29" s="328">
        <f>H27+G29</f>
        <v>229440.481673167</v>
      </c>
      <c r="I29" s="328">
        <f>I27+H29</f>
        <v>244686.038364454</v>
      </c>
      <c r="J29" s="328">
        <f>J27+I29</f>
        <v>261720.739635741</v>
      </c>
      <c r="K29" s="328">
        <f>K27+J29</f>
        <v>280544.585487028</v>
      </c>
      <c r="L29" s="328">
        <f>L27+K29</f>
        <v>301157.575918315</v>
      </c>
      <c r="M29" s="328">
        <f>M27+L29</f>
        <v>324837.277079641</v>
      </c>
      <c r="N29" s="328">
        <f>N27+M29</f>
        <v>350306.122820968</v>
      </c>
      <c r="O29" s="328">
        <f>O27+N29</f>
        <v>377564.113142294</v>
      </c>
      <c r="P29" s="328">
        <f>P27+O29</f>
        <v>406611.248043621</v>
      </c>
      <c r="Q29" s="328">
        <f>Q27+P29</f>
        <v>437447.527524947</v>
      </c>
      <c r="R29" s="328">
        <f>R27+Q29</f>
        <v>470072.951586273</v>
      </c>
      <c r="S29" s="328">
        <f>S27+F29</f>
        <v>470072.95158627</v>
      </c>
      <c r="T29" s="328">
        <f>T27+S29</f>
        <v>766435.020232028</v>
      </c>
      <c r="U29" s="328">
        <f>U27+T29</f>
        <v>1074516.62682386</v>
      </c>
      <c r="V29" s="328">
        <f>V27+U29</f>
        <v>1394623.6813153</v>
      </c>
      <c r="W29" s="329">
        <f>W27+V29</f>
        <v>1727068.70920144</v>
      </c>
      <c r="X29" s="295"/>
      <c r="Y29" s="280"/>
      <c r="Z29" s="8"/>
      <c r="AA29" s="8"/>
      <c r="AB29" s="25"/>
    </row>
    <row r="30" ht="13.15" customHeight="1">
      <c r="A30" s="23"/>
      <c r="B30" s="8"/>
      <c r="C30" s="8"/>
      <c r="D30" s="296"/>
      <c r="E30" s="332"/>
      <c r="F30" s="332"/>
      <c r="G30" s="298"/>
      <c r="H30" s="298"/>
      <c r="I30" s="298"/>
      <c r="J30" s="298"/>
      <c r="K30" s="298"/>
      <c r="L30" s="298"/>
      <c r="M30" s="298"/>
      <c r="N30" s="298"/>
      <c r="O30" s="298"/>
      <c r="P30" s="298"/>
      <c r="Q30" s="298"/>
      <c r="R30" s="298"/>
      <c r="S30" s="298"/>
      <c r="T30" s="298"/>
      <c r="U30" s="298"/>
      <c r="V30" s="298"/>
      <c r="W30" s="298"/>
      <c r="X30" s="279"/>
      <c r="Y30" s="280"/>
      <c r="Z30" s="8"/>
      <c r="AA30" s="8"/>
      <c r="AB30" s="25"/>
    </row>
    <row r="31" ht="13.15" customHeight="1">
      <c r="A31" s="23"/>
      <c r="B31" s="8"/>
      <c r="C31" s="8"/>
      <c r="D31" s="255"/>
      <c r="E31" s="316"/>
      <c r="F31" s="316"/>
      <c r="G31" s="242"/>
      <c r="H31" s="242"/>
      <c r="I31" s="242"/>
      <c r="J31" s="242"/>
      <c r="K31" s="242"/>
      <c r="L31" s="242"/>
      <c r="M31" s="242"/>
      <c r="N31" s="242"/>
      <c r="O31" s="242"/>
      <c r="P31" s="242"/>
      <c r="Q31" s="242"/>
      <c r="R31" s="242"/>
      <c r="S31" s="242"/>
      <c r="T31" s="242"/>
      <c r="U31" s="242"/>
      <c r="V31" s="242"/>
      <c r="W31" s="333"/>
      <c r="X31" s="279"/>
      <c r="Y31" s="280"/>
      <c r="Z31" s="8"/>
      <c r="AA31" s="8"/>
      <c r="AB31" s="25"/>
    </row>
    <row r="32" ht="13.15" customHeight="1">
      <c r="A32" s="23"/>
      <c r="B32" s="8"/>
      <c r="C32" s="8"/>
      <c r="D32" s="255"/>
      <c r="E32" s="316"/>
      <c r="F32" s="316"/>
      <c r="G32" s="242"/>
      <c r="H32" s="242"/>
      <c r="I32" s="242"/>
      <c r="J32" s="242"/>
      <c r="K32" s="242"/>
      <c r="L32" s="242"/>
      <c r="M32" s="242"/>
      <c r="N32" s="242"/>
      <c r="O32" s="242"/>
      <c r="P32" s="242"/>
      <c r="Q32" s="242"/>
      <c r="R32" s="242"/>
      <c r="S32" s="242"/>
      <c r="T32" s="242"/>
      <c r="U32" s="242"/>
      <c r="V32" s="242"/>
      <c r="W32" s="242"/>
      <c r="X32" s="280"/>
      <c r="Y32" s="280"/>
      <c r="Z32" s="8"/>
      <c r="AA32" s="8"/>
      <c r="AB32" s="25"/>
    </row>
    <row r="33" ht="13.15" customHeight="1">
      <c r="A33" s="23"/>
      <c r="B33" s="8"/>
      <c r="C33" s="8"/>
      <c r="D33" s="255"/>
      <c r="E33" s="316"/>
      <c r="F33" s="316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2"/>
      <c r="R33" s="242"/>
      <c r="S33" s="242"/>
      <c r="T33" s="242"/>
      <c r="U33" s="242"/>
      <c r="V33" s="242"/>
      <c r="W33" s="242"/>
      <c r="X33" s="280"/>
      <c r="Y33" s="280"/>
      <c r="Z33" s="8"/>
      <c r="AA33" s="8"/>
      <c r="AB33" s="25"/>
    </row>
    <row r="34" ht="13.15" customHeight="1">
      <c r="A34" s="23"/>
      <c r="B34" s="8"/>
      <c r="C34" s="8"/>
      <c r="D34" s="255"/>
      <c r="E34" s="316"/>
      <c r="F34" s="316"/>
      <c r="G34" s="242"/>
      <c r="H34" s="242"/>
      <c r="I34" s="242"/>
      <c r="J34" s="242"/>
      <c r="K34" s="242"/>
      <c r="L34" s="242"/>
      <c r="M34" s="242"/>
      <c r="N34" s="242"/>
      <c r="O34" s="242"/>
      <c r="P34" s="242"/>
      <c r="Q34" s="242"/>
      <c r="R34" s="242"/>
      <c r="S34" s="242"/>
      <c r="T34" s="242"/>
      <c r="U34" s="242"/>
      <c r="V34" s="242"/>
      <c r="W34" s="242"/>
      <c r="X34" s="280"/>
      <c r="Y34" s="280"/>
      <c r="Z34" s="8"/>
      <c r="AA34" s="8"/>
      <c r="AB34" s="25"/>
    </row>
    <row r="35" ht="13.15" customHeight="1">
      <c r="A35" s="23"/>
      <c r="B35" s="8"/>
      <c r="C35" s="8"/>
      <c r="D35" s="255"/>
      <c r="E35" s="316"/>
      <c r="F35" s="316"/>
      <c r="G35" s="242"/>
      <c r="H35" s="242"/>
      <c r="I35" s="242"/>
      <c r="J35" s="242"/>
      <c r="K35" s="242"/>
      <c r="L35" s="242"/>
      <c r="M35" s="242"/>
      <c r="N35" s="242"/>
      <c r="O35" s="242"/>
      <c r="P35" s="242"/>
      <c r="Q35" s="242"/>
      <c r="R35" s="242"/>
      <c r="S35" s="242"/>
      <c r="T35" s="242"/>
      <c r="U35" s="242"/>
      <c r="V35" s="242"/>
      <c r="W35" s="242"/>
      <c r="X35" s="280"/>
      <c r="Y35" s="280"/>
      <c r="Z35" s="8"/>
      <c r="AA35" s="8"/>
      <c r="AB35" s="25"/>
    </row>
    <row r="36" ht="13.15" customHeight="1">
      <c r="A36" s="23"/>
      <c r="B36" s="8"/>
      <c r="C36" s="8"/>
      <c r="D36" s="255"/>
      <c r="E36" s="316"/>
      <c r="F36" s="316"/>
      <c r="G36" s="242"/>
      <c r="H36" s="242"/>
      <c r="I36" s="242"/>
      <c r="J36" s="242"/>
      <c r="K36" s="242"/>
      <c r="L36" s="242"/>
      <c r="M36" s="242"/>
      <c r="N36" s="242"/>
      <c r="O36" s="242"/>
      <c r="P36" s="242"/>
      <c r="Q36" s="242"/>
      <c r="R36" s="242"/>
      <c r="S36" s="242"/>
      <c r="T36" s="242"/>
      <c r="U36" s="242"/>
      <c r="V36" s="242"/>
      <c r="W36" s="242"/>
      <c r="X36" s="280"/>
      <c r="Y36" s="280"/>
      <c r="Z36" s="8"/>
      <c r="AA36" s="8"/>
      <c r="AB36" s="25"/>
    </row>
    <row r="37" ht="13.15" customHeight="1">
      <c r="A37" s="23"/>
      <c r="B37" s="8"/>
      <c r="C37" s="8"/>
      <c r="D37" s="255"/>
      <c r="E37" s="316"/>
      <c r="F37" s="316"/>
      <c r="G37" s="242"/>
      <c r="H37" s="242"/>
      <c r="I37" s="242"/>
      <c r="J37" s="242"/>
      <c r="K37" s="242"/>
      <c r="L37" s="242"/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80"/>
      <c r="Y37" s="280"/>
      <c r="Z37" s="8"/>
      <c r="AA37" s="8"/>
      <c r="AB37" s="25"/>
    </row>
    <row r="38" ht="13.15" customHeight="1">
      <c r="A38" s="23"/>
      <c r="B38" s="8"/>
      <c r="C38" s="8"/>
      <c r="D38" s="255"/>
      <c r="E38" s="316"/>
      <c r="F38" s="316"/>
      <c r="G38" s="242"/>
      <c r="H38" s="242"/>
      <c r="I38" s="242"/>
      <c r="J38" s="242"/>
      <c r="K38" s="242"/>
      <c r="L38" s="242"/>
      <c r="M38" s="242"/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80"/>
      <c r="Y38" s="280"/>
      <c r="Z38" s="8"/>
      <c r="AA38" s="8"/>
      <c r="AB38" s="25"/>
    </row>
    <row r="39" ht="13.15" customHeight="1">
      <c r="A39" s="23"/>
      <c r="B39" s="8"/>
      <c r="C39" s="8"/>
      <c r="D39" s="255"/>
      <c r="E39" s="316"/>
      <c r="F39" s="316"/>
      <c r="G39" s="242"/>
      <c r="H39" s="242"/>
      <c r="I39" s="242"/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80"/>
      <c r="Y39" s="280"/>
      <c r="Z39" s="8"/>
      <c r="AA39" s="8"/>
      <c r="AB39" s="25"/>
    </row>
    <row r="40" ht="13.15" customHeight="1">
      <c r="A40" s="23"/>
      <c r="B40" s="8"/>
      <c r="C40" s="8"/>
      <c r="D40" s="255"/>
      <c r="E40" s="316"/>
      <c r="F40" s="316"/>
      <c r="G40" s="242"/>
      <c r="H40" s="242"/>
      <c r="I40" s="242"/>
      <c r="J40" s="242"/>
      <c r="K40" s="242"/>
      <c r="L40" s="242"/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80"/>
      <c r="Y40" s="280"/>
      <c r="Z40" s="8"/>
      <c r="AA40" s="8"/>
      <c r="AB40" s="25"/>
    </row>
    <row r="41" ht="13.15" customHeight="1">
      <c r="A41" s="23"/>
      <c r="B41" s="8"/>
      <c r="C41" s="8"/>
      <c r="D41" s="255"/>
      <c r="E41" s="316"/>
      <c r="F41" s="316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80"/>
      <c r="Y41" s="280"/>
      <c r="Z41" s="8"/>
      <c r="AA41" s="8"/>
      <c r="AB41" s="25"/>
    </row>
    <row r="42" ht="13.15" customHeight="1">
      <c r="A42" s="23"/>
      <c r="B42" s="8"/>
      <c r="C42" s="8"/>
      <c r="D42" s="255"/>
      <c r="E42" s="316"/>
      <c r="F42" s="316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80"/>
      <c r="Y42" s="280"/>
      <c r="Z42" s="8"/>
      <c r="AA42" s="8"/>
      <c r="AB42" s="25"/>
    </row>
    <row r="43" ht="13.15" customHeight="1">
      <c r="A43" s="23"/>
      <c r="B43" s="8"/>
      <c r="C43" s="8"/>
      <c r="D43" s="255"/>
      <c r="E43" s="316"/>
      <c r="F43" s="316"/>
      <c r="G43" s="242"/>
      <c r="H43" s="242"/>
      <c r="I43" s="242"/>
      <c r="J43" s="242"/>
      <c r="K43" s="242"/>
      <c r="L43" s="242"/>
      <c r="M43" s="242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80"/>
      <c r="Y43" s="280"/>
      <c r="Z43" s="8"/>
      <c r="AA43" s="8"/>
      <c r="AB43" s="25"/>
    </row>
    <row r="44" ht="13.15" customHeight="1">
      <c r="A44" s="23"/>
      <c r="B44" s="8"/>
      <c r="C44" s="8"/>
      <c r="D44" s="255"/>
      <c r="E44" s="316"/>
      <c r="F44" s="316"/>
      <c r="G44" s="242"/>
      <c r="H44" s="242"/>
      <c r="I44" s="242"/>
      <c r="J44" s="242"/>
      <c r="K44" s="242"/>
      <c r="L44" s="242"/>
      <c r="M44" s="242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80"/>
      <c r="Y44" s="280"/>
      <c r="Z44" s="8"/>
      <c r="AA44" s="8"/>
      <c r="AB44" s="25"/>
    </row>
    <row r="45" ht="13.15" customHeight="1">
      <c r="A45" s="23"/>
      <c r="B45" s="8"/>
      <c r="C45" s="8"/>
      <c r="D45" s="255"/>
      <c r="E45" s="316"/>
      <c r="F45" s="316"/>
      <c r="G45" s="242"/>
      <c r="H45" s="242"/>
      <c r="I45" s="242"/>
      <c r="J45" s="242"/>
      <c r="K45" s="242"/>
      <c r="L45" s="242"/>
      <c r="M45" s="242"/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80"/>
      <c r="Y45" s="280"/>
      <c r="Z45" s="8"/>
      <c r="AA45" s="8"/>
      <c r="AB45" s="25"/>
    </row>
    <row r="46" ht="13.15" customHeight="1">
      <c r="A46" s="23"/>
      <c r="B46" s="8"/>
      <c r="C46" s="8"/>
      <c r="D46" s="255"/>
      <c r="E46" s="316"/>
      <c r="F46" s="316"/>
      <c r="G46" s="242"/>
      <c r="H46" s="242"/>
      <c r="I46" s="242"/>
      <c r="J46" s="242"/>
      <c r="K46" s="242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80"/>
      <c r="Y46" s="280"/>
      <c r="Z46" s="8"/>
      <c r="AA46" s="8"/>
      <c r="AB46" s="25"/>
    </row>
    <row r="47" ht="13.15" customHeight="1">
      <c r="A47" s="23"/>
      <c r="B47" s="8"/>
      <c r="C47" s="8"/>
      <c r="D47" s="255"/>
      <c r="E47" s="316"/>
      <c r="F47" s="316"/>
      <c r="G47" s="242"/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80"/>
      <c r="Y47" s="280"/>
      <c r="Z47" s="8"/>
      <c r="AA47" s="8"/>
      <c r="AB47" s="25"/>
    </row>
    <row r="48" ht="13.15" customHeight="1">
      <c r="A48" s="23"/>
      <c r="B48" s="8"/>
      <c r="C48" s="8"/>
      <c r="D48" s="255"/>
      <c r="E48" s="316"/>
      <c r="F48" s="316"/>
      <c r="G48" s="242"/>
      <c r="H48" s="242"/>
      <c r="I48" s="242"/>
      <c r="J48" s="242"/>
      <c r="K48" s="242"/>
      <c r="L48" s="242"/>
      <c r="M48" s="242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80"/>
      <c r="Y48" s="280"/>
      <c r="Z48" s="8"/>
      <c r="AA48" s="8"/>
      <c r="AB48" s="25"/>
    </row>
    <row r="49" ht="13.15" customHeight="1">
      <c r="A49" s="23"/>
      <c r="B49" s="8"/>
      <c r="C49" s="8"/>
      <c r="D49" s="255"/>
      <c r="E49" s="316"/>
      <c r="F49" s="316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2"/>
      <c r="V49" s="242"/>
      <c r="W49" s="242"/>
      <c r="X49" s="280"/>
      <c r="Y49" s="280"/>
      <c r="Z49" s="8"/>
      <c r="AA49" s="8"/>
      <c r="AB49" s="25"/>
    </row>
    <row r="50" ht="13.15" customHeight="1">
      <c r="A50" s="23"/>
      <c r="B50" s="8"/>
      <c r="C50" s="8"/>
      <c r="D50" s="255"/>
      <c r="E50" s="316"/>
      <c r="F50" s="316"/>
      <c r="G50" s="242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80"/>
      <c r="Y50" s="280"/>
      <c r="Z50" s="8"/>
      <c r="AA50" s="8"/>
      <c r="AB50" s="25"/>
    </row>
    <row r="51" ht="13.15" customHeight="1">
      <c r="A51" s="23"/>
      <c r="B51" s="8"/>
      <c r="C51" s="8"/>
      <c r="D51" s="255"/>
      <c r="E51" s="316"/>
      <c r="F51" s="316"/>
      <c r="G51" s="242"/>
      <c r="H51" s="242"/>
      <c r="I51" s="242"/>
      <c r="J51" s="242"/>
      <c r="K51" s="242"/>
      <c r="L51" s="242"/>
      <c r="M51" s="242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80"/>
      <c r="Y51" s="280"/>
      <c r="Z51" s="8"/>
      <c r="AA51" s="8"/>
      <c r="AB51" s="25"/>
    </row>
    <row r="52" ht="13.15" customHeight="1">
      <c r="A52" s="23"/>
      <c r="B52" s="8"/>
      <c r="C52" s="8"/>
      <c r="D52" s="255"/>
      <c r="E52" s="316"/>
      <c r="F52" s="316"/>
      <c r="G52" s="242"/>
      <c r="H52" s="242"/>
      <c r="I52" s="242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80"/>
      <c r="Y52" s="280"/>
      <c r="Z52" s="8"/>
      <c r="AA52" s="8"/>
      <c r="AB52" s="25"/>
    </row>
    <row r="53" ht="13.15" customHeight="1">
      <c r="A53" s="23"/>
      <c r="B53" s="8"/>
      <c r="C53" s="8"/>
      <c r="D53" s="255"/>
      <c r="E53" s="316"/>
      <c r="F53" s="316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80"/>
      <c r="Y53" s="280"/>
      <c r="Z53" s="8"/>
      <c r="AA53" s="8"/>
      <c r="AB53" s="25"/>
    </row>
    <row r="54" ht="13.15" customHeight="1">
      <c r="A54" s="23"/>
      <c r="B54" s="8"/>
      <c r="C54" s="8"/>
      <c r="D54" s="255"/>
      <c r="E54" s="316"/>
      <c r="F54" s="316"/>
      <c r="G54" s="242"/>
      <c r="H54" s="242"/>
      <c r="I54" s="242"/>
      <c r="J54" s="242"/>
      <c r="K54" s="242"/>
      <c r="L54" s="242"/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80"/>
      <c r="Y54" s="280"/>
      <c r="Z54" s="8"/>
      <c r="AA54" s="8"/>
      <c r="AB54" s="25"/>
    </row>
    <row r="55" ht="13.15" customHeight="1">
      <c r="A55" s="23"/>
      <c r="B55" s="8"/>
      <c r="C55" s="8"/>
      <c r="D55" s="255"/>
      <c r="E55" s="316"/>
      <c r="F55" s="316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80"/>
      <c r="Y55" s="280"/>
      <c r="Z55" s="8"/>
      <c r="AA55" s="8"/>
      <c r="AB55" s="25"/>
    </row>
    <row r="56" ht="13.15" customHeight="1">
      <c r="A56" s="23"/>
      <c r="B56" s="8"/>
      <c r="C56" s="8"/>
      <c r="D56" s="255"/>
      <c r="E56" s="316"/>
      <c r="F56" s="316"/>
      <c r="G56" s="242"/>
      <c r="H56" s="242"/>
      <c r="I56" s="242"/>
      <c r="J56" s="242"/>
      <c r="K56" s="242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80"/>
      <c r="Y56" s="280"/>
      <c r="Z56" s="8"/>
      <c r="AA56" s="8"/>
      <c r="AB56" s="25"/>
    </row>
    <row r="57" ht="13.15" customHeight="1">
      <c r="A57" s="23"/>
      <c r="B57" s="8"/>
      <c r="C57" s="8"/>
      <c r="D57" s="255"/>
      <c r="E57" s="316"/>
      <c r="F57" s="316"/>
      <c r="G57" s="242"/>
      <c r="H57" s="242"/>
      <c r="I57" s="242"/>
      <c r="J57" s="242"/>
      <c r="K57" s="242"/>
      <c r="L57" s="242"/>
      <c r="M57" s="242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80"/>
      <c r="Y57" s="280"/>
      <c r="Z57" s="8"/>
      <c r="AA57" s="8"/>
      <c r="AB57" s="25"/>
    </row>
    <row r="58" ht="13.15" customHeight="1">
      <c r="A58" s="23"/>
      <c r="B58" s="8"/>
      <c r="C58" s="8"/>
      <c r="D58" s="255"/>
      <c r="E58" s="316"/>
      <c r="F58" s="316"/>
      <c r="G58" s="242"/>
      <c r="H58" s="242"/>
      <c r="I58" s="242"/>
      <c r="J58" s="242"/>
      <c r="K58" s="242"/>
      <c r="L58" s="242"/>
      <c r="M58" s="242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80"/>
      <c r="Y58" s="280"/>
      <c r="Z58" s="8"/>
      <c r="AA58" s="8"/>
      <c r="AB58" s="25"/>
    </row>
    <row r="59" ht="13.15" customHeight="1">
      <c r="A59" s="23"/>
      <c r="B59" s="8"/>
      <c r="C59" s="8"/>
      <c r="D59" s="255"/>
      <c r="E59" s="316"/>
      <c r="F59" s="316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80"/>
      <c r="Y59" s="280"/>
      <c r="Z59" s="8"/>
      <c r="AA59" s="8"/>
      <c r="AB59" s="25"/>
    </row>
    <row r="60" ht="13.15" customHeight="1">
      <c r="A60" s="23"/>
      <c r="B60" s="8"/>
      <c r="C60" s="8"/>
      <c r="D60" s="255"/>
      <c r="E60" s="316"/>
      <c r="F60" s="316"/>
      <c r="G60" s="242"/>
      <c r="H60" s="242"/>
      <c r="I60" s="242"/>
      <c r="J60" s="242"/>
      <c r="K60" s="242"/>
      <c r="L60" s="242"/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80"/>
      <c r="Y60" s="280"/>
      <c r="Z60" s="8"/>
      <c r="AA60" s="8"/>
      <c r="AB60" s="25"/>
    </row>
    <row r="61" ht="13.15" customHeight="1">
      <c r="A61" s="23"/>
      <c r="B61" s="8"/>
      <c r="C61" s="8"/>
      <c r="D61" s="255"/>
      <c r="E61" s="316"/>
      <c r="F61" s="316"/>
      <c r="G61" s="242"/>
      <c r="H61" s="242"/>
      <c r="I61" s="242"/>
      <c r="J61" s="242"/>
      <c r="K61" s="242"/>
      <c r="L61" s="242"/>
      <c r="M61" s="242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80"/>
      <c r="Y61" s="280"/>
      <c r="Z61" s="8"/>
      <c r="AA61" s="8"/>
      <c r="AB61" s="25"/>
    </row>
    <row r="62" ht="13.15" customHeight="1">
      <c r="A62" s="205"/>
      <c r="B62" s="209"/>
      <c r="C62" s="209"/>
      <c r="D62" s="334"/>
      <c r="E62" s="335"/>
      <c r="F62" s="335"/>
      <c r="G62" s="336"/>
      <c r="H62" s="336"/>
      <c r="I62" s="336"/>
      <c r="J62" s="336"/>
      <c r="K62" s="336"/>
      <c r="L62" s="336"/>
      <c r="M62" s="336"/>
      <c r="N62" s="336"/>
      <c r="O62" s="336"/>
      <c r="P62" s="336"/>
      <c r="Q62" s="336"/>
      <c r="R62" s="336"/>
      <c r="S62" s="336"/>
      <c r="T62" s="336"/>
      <c r="U62" s="336"/>
      <c r="V62" s="336"/>
      <c r="W62" s="336"/>
      <c r="X62" s="337"/>
      <c r="Y62" s="337"/>
      <c r="Z62" s="209"/>
      <c r="AA62" s="209"/>
      <c r="AB62" s="210"/>
    </row>
  </sheetData>
  <pageMargins left="0" right="0" top="0.75" bottom="0.75" header="0.3" footer="0.3"/>
  <pageSetup firstPageNumber="1" fitToHeight="1" fitToWidth="1" scale="89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Q24"/>
  <sheetViews>
    <sheetView workbookViewId="0" showGridLines="0" defaultGridColor="1"/>
  </sheetViews>
  <sheetFormatPr defaultColWidth="8.75" defaultRowHeight="10.15" customHeight="1" outlineLevelRow="0" outlineLevelCol="0"/>
  <cols>
    <col min="1" max="14" width="8.75" style="338" customWidth="1"/>
    <col min="15" max="16" width="14.75" style="338" customWidth="1"/>
    <col min="17" max="17" width="15.75" style="338" customWidth="1"/>
    <col min="18" max="16384" width="8.75" style="338" customWidth="1"/>
  </cols>
  <sheetData>
    <row r="1" ht="13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13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ht="13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</row>
    <row r="4" ht="13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</row>
    <row r="5" ht="13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  <row r="6" ht="13" customHeight="1">
      <c r="A6" s="5"/>
      <c r="B6" s="6"/>
      <c r="C6" s="6"/>
      <c r="D6" s="6"/>
      <c r="E6" s="6"/>
      <c r="F6" s="6"/>
      <c r="G6" s="8"/>
      <c r="H6" s="6"/>
      <c r="I6" s="6"/>
      <c r="J6" s="6"/>
      <c r="K6" s="6"/>
      <c r="L6" s="6"/>
      <c r="M6" s="6"/>
      <c r="N6" s="6"/>
      <c r="O6" s="6"/>
      <c r="P6" s="6"/>
      <c r="Q6" s="7"/>
    </row>
    <row r="7" ht="13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</row>
    <row r="8" ht="13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</row>
    <row r="9" ht="13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</row>
    <row r="10" ht="13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ht="13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</row>
    <row r="12" ht="13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7"/>
    </row>
    <row r="13" ht="13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</row>
    <row r="14" ht="13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</row>
    <row r="15" ht="13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7"/>
    </row>
    <row r="16" ht="13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7"/>
    </row>
    <row r="17" ht="13" customHeight="1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7"/>
    </row>
    <row r="18" ht="13" customHeight="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7"/>
    </row>
    <row r="19" ht="13" customHeight="1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/>
    </row>
    <row r="20" ht="13" customHeight="1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7"/>
    </row>
    <row r="21" ht="50.25" customHeight="1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t="s" s="339">
        <v>184</v>
      </c>
    </row>
    <row r="22" ht="8" customHeight="1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4"/>
    </row>
    <row r="23" ht="8" customHeight="1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7"/>
    </row>
    <row r="24" ht="18.75" customHeight="1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t="s" s="17">
        <v>0</v>
      </c>
    </row>
  </sheetData>
  <pageMargins left="0.5" right="0.5" top="0.5" bottom="0.5" header="0.3" footer="0.3"/>
  <pageSetup firstPageNumber="1" fitToHeight="1" fitToWidth="1" scale="99" useFirstPageNumber="0" orientation="landscape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Z48"/>
  <sheetViews>
    <sheetView workbookViewId="0" showGridLines="0" defaultGridColor="1"/>
  </sheetViews>
  <sheetFormatPr defaultColWidth="9.25" defaultRowHeight="13.15" customHeight="1" outlineLevelRow="0" outlineLevelCol="0"/>
  <cols>
    <col min="1" max="1" width="2.75" style="340" customWidth="1"/>
    <col min="2" max="2" width="28.5" style="340" customWidth="1"/>
    <col min="3" max="3" width="14.5" style="340" customWidth="1"/>
    <col min="4" max="4" width="8.75" style="340" customWidth="1"/>
    <col min="5" max="5" width="15.25" style="340" customWidth="1"/>
    <col min="6" max="15" width="11.75" style="340" customWidth="1"/>
    <col min="16" max="16" width="15.75" style="340" customWidth="1"/>
    <col min="17" max="17" width="17.25" style="340" customWidth="1"/>
    <col min="18" max="18" width="14.75" style="340" customWidth="1"/>
    <col min="19" max="19" width="15.5" style="340" customWidth="1"/>
    <col min="20" max="21" width="17.25" style="340" customWidth="1"/>
    <col min="22" max="26" width="9.5" style="340" customWidth="1"/>
    <col min="27" max="16384" width="9.25" style="340" customWidth="1"/>
  </cols>
  <sheetData>
    <row r="1" ht="13.75" customHeight="1">
      <c r="A1" s="19"/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"/>
      <c r="W1" s="21"/>
      <c r="X1" s="21"/>
      <c r="Y1" s="21"/>
      <c r="Z1" s="22"/>
    </row>
    <row r="2" ht="13.75" customHeight="1">
      <c r="A2" s="23"/>
      <c r="B2" t="s" s="272">
        <v>185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8"/>
      <c r="W2" s="8"/>
      <c r="X2" s="8"/>
      <c r="Y2" s="8"/>
      <c r="Z2" s="25"/>
    </row>
    <row r="3" ht="13.75" customHeight="1">
      <c r="A3" s="23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341"/>
      <c r="Q3" s="342"/>
      <c r="R3" s="342"/>
      <c r="S3" s="342"/>
      <c r="T3" s="342"/>
      <c r="U3" s="342"/>
      <c r="V3" s="8"/>
      <c r="W3" s="8"/>
      <c r="X3" s="8"/>
      <c r="Y3" s="8"/>
      <c r="Z3" s="25"/>
    </row>
    <row r="4" ht="13.5" customHeight="1">
      <c r="A4" s="23"/>
      <c r="B4" s="217"/>
      <c r="C4" s="217"/>
      <c r="D4" s="217"/>
      <c r="E4" s="217"/>
      <c r="F4" s="217"/>
      <c r="G4" s="217"/>
      <c r="H4" s="217"/>
      <c r="I4" s="217"/>
      <c r="J4" s="217"/>
      <c r="K4" s="343"/>
      <c r="L4" s="217"/>
      <c r="M4" s="217"/>
      <c r="N4" s="217"/>
      <c r="O4" s="217"/>
      <c r="P4" s="344"/>
      <c r="Q4" s="345"/>
      <c r="R4" s="345"/>
      <c r="S4" s="345"/>
      <c r="T4" s="345"/>
      <c r="U4" s="345"/>
      <c r="V4" s="8"/>
      <c r="W4" s="8"/>
      <c r="X4" s="8"/>
      <c r="Y4" s="8"/>
      <c r="Z4" s="25"/>
    </row>
    <row r="5" ht="13.5" customHeight="1">
      <c r="A5" s="260"/>
      <c r="B5" t="s" s="346">
        <v>186</v>
      </c>
      <c r="C5" s="347"/>
      <c r="D5" s="348"/>
      <c r="E5" t="s" s="220">
        <v>29</v>
      </c>
      <c r="F5" s="349"/>
      <c r="G5" s="350"/>
      <c r="H5" s="350"/>
      <c r="I5" s="350"/>
      <c r="J5" s="350"/>
      <c r="K5" s="350"/>
      <c r="L5" s="350"/>
      <c r="M5" s="350"/>
      <c r="N5" s="350"/>
      <c r="O5" s="350"/>
      <c r="P5" s="350"/>
      <c r="Q5" s="350"/>
      <c r="R5" s="350"/>
      <c r="S5" s="350"/>
      <c r="T5" s="350"/>
      <c r="U5" s="351"/>
      <c r="V5" s="264"/>
      <c r="W5" s="8"/>
      <c r="X5" s="8"/>
      <c r="Y5" s="8"/>
      <c r="Z5" s="25"/>
    </row>
    <row r="6" ht="13.5" customHeight="1">
      <c r="A6" s="260"/>
      <c r="B6" s="352"/>
      <c r="C6" t="s" s="353">
        <v>113</v>
      </c>
      <c r="D6" s="354"/>
      <c r="E6" t="s" s="225">
        <v>31</v>
      </c>
      <c r="F6" s="226">
        <v>43313</v>
      </c>
      <c r="G6" s="226">
        <v>43344</v>
      </c>
      <c r="H6" s="226">
        <v>43374</v>
      </c>
      <c r="I6" s="226">
        <v>43405</v>
      </c>
      <c r="J6" s="226">
        <v>43435</v>
      </c>
      <c r="K6" s="226">
        <v>43466</v>
      </c>
      <c r="L6" s="226">
        <v>43497</v>
      </c>
      <c r="M6" s="226">
        <v>43525</v>
      </c>
      <c r="N6" s="226">
        <v>43556</v>
      </c>
      <c r="O6" s="226">
        <v>43586</v>
      </c>
      <c r="P6" s="226">
        <v>43617</v>
      </c>
      <c r="Q6" t="s" s="227">
        <v>114</v>
      </c>
      <c r="R6" s="274">
        <v>43983</v>
      </c>
      <c r="S6" s="274">
        <v>44348</v>
      </c>
      <c r="T6" s="274">
        <v>44713</v>
      </c>
      <c r="U6" s="275">
        <v>45078</v>
      </c>
      <c r="V6" s="264"/>
      <c r="W6" s="8"/>
      <c r="X6" s="8"/>
      <c r="Y6" s="8"/>
      <c r="Z6" s="25"/>
    </row>
    <row r="7" ht="14.25" customHeight="1">
      <c r="A7" s="260"/>
      <c r="B7" s="355"/>
      <c r="C7" s="356"/>
      <c r="D7" s="356"/>
      <c r="E7" t="s" s="231">
        <v>115</v>
      </c>
      <c r="F7" t="s" s="231">
        <v>115</v>
      </c>
      <c r="G7" t="s" s="231">
        <v>115</v>
      </c>
      <c r="H7" t="s" s="231">
        <v>115</v>
      </c>
      <c r="I7" t="s" s="231">
        <v>115</v>
      </c>
      <c r="J7" t="s" s="231">
        <v>115</v>
      </c>
      <c r="K7" t="s" s="231">
        <v>115</v>
      </c>
      <c r="L7" t="s" s="231">
        <v>115</v>
      </c>
      <c r="M7" t="s" s="231">
        <v>115</v>
      </c>
      <c r="N7" t="s" s="231">
        <v>115</v>
      </c>
      <c r="O7" t="s" s="231">
        <v>115</v>
      </c>
      <c r="P7" t="s" s="231">
        <v>115</v>
      </c>
      <c r="Q7" t="s" s="231">
        <v>115</v>
      </c>
      <c r="R7" t="s" s="231">
        <v>115</v>
      </c>
      <c r="S7" t="s" s="231">
        <v>115</v>
      </c>
      <c r="T7" t="s" s="231">
        <v>115</v>
      </c>
      <c r="U7" t="s" s="357">
        <v>115</v>
      </c>
      <c r="V7" s="264"/>
      <c r="W7" s="8"/>
      <c r="X7" s="8"/>
      <c r="Y7" s="8"/>
      <c r="Z7" s="25"/>
    </row>
    <row r="8" ht="13.75" customHeight="1">
      <c r="A8" s="260"/>
      <c r="B8" s="358"/>
      <c r="C8" s="233"/>
      <c r="D8" s="233"/>
      <c r="E8" s="233"/>
      <c r="F8" s="233"/>
      <c r="G8" s="233"/>
      <c r="H8" s="233"/>
      <c r="I8" s="6"/>
      <c r="J8" s="6"/>
      <c r="K8" s="6"/>
      <c r="L8" s="6"/>
      <c r="M8" s="6"/>
      <c r="N8" s="6"/>
      <c r="O8" s="6"/>
      <c r="P8" s="6"/>
      <c r="Q8" s="8"/>
      <c r="R8" s="8"/>
      <c r="S8" s="8"/>
      <c r="T8" s="8"/>
      <c r="U8" s="326"/>
      <c r="V8" s="264"/>
      <c r="W8" s="8"/>
      <c r="X8" s="8"/>
      <c r="Y8" s="8"/>
      <c r="Z8" s="25"/>
    </row>
    <row r="9" ht="13.75" customHeight="1">
      <c r="A9" s="260"/>
      <c r="B9" t="s" s="359">
        <v>187</v>
      </c>
      <c r="C9" s="360"/>
      <c r="D9" s="360"/>
      <c r="E9" s="361">
        <f>'Key Assumptions &amp; Drivers'!D36</f>
        <v>0</v>
      </c>
      <c r="F9" s="361">
        <f>'Key Assumptions &amp; Drivers'!E36</f>
        <v>6322.84705728</v>
      </c>
      <c r="G9" s="361">
        <f>'Key Assumptions &amp; Drivers'!F36</f>
        <v>6322.84705728</v>
      </c>
      <c r="H9" s="361">
        <f>'Key Assumptions &amp; Drivers'!G36</f>
        <v>6322.84705728</v>
      </c>
      <c r="I9" s="361">
        <f>'Key Assumptions &amp; Drivers'!H36</f>
        <v>6322.84705728</v>
      </c>
      <c r="J9" s="361">
        <f>'Key Assumptions &amp; Drivers'!I36</f>
        <v>6322.84705728</v>
      </c>
      <c r="K9" s="361">
        <f>'Key Assumptions &amp; Drivers'!J36</f>
        <v>6449.3039984256</v>
      </c>
      <c r="L9" s="361">
        <f>'Key Assumptions &amp; Drivers'!K36</f>
        <v>6449.3039984256</v>
      </c>
      <c r="M9" s="361">
        <f>'Key Assumptions &amp; Drivers'!L36</f>
        <v>6449.3039984256</v>
      </c>
      <c r="N9" s="361">
        <f>'Key Assumptions &amp; Drivers'!M36</f>
        <v>6449.3039984256</v>
      </c>
      <c r="O9" s="361">
        <f>'Key Assumptions &amp; Drivers'!N36</f>
        <v>6449.3039984256</v>
      </c>
      <c r="P9" s="361">
        <f>'Key Assumptions &amp; Drivers'!O36</f>
        <v>6449.3039984256</v>
      </c>
      <c r="Q9" s="252">
        <f>SUM(E9:P9)</f>
        <v>70310.0592769536</v>
      </c>
      <c r="R9" s="252">
        <f>'Key Assumptions &amp; Drivers'!P36</f>
        <v>78939.480940729307</v>
      </c>
      <c r="S9" s="252">
        <f>'Key Assumptions &amp; Drivers'!Q36</f>
        <v>80518.2705595439</v>
      </c>
      <c r="T9" s="252">
        <f>'Key Assumptions &amp; Drivers'!R36</f>
        <v>82128.6359707345</v>
      </c>
      <c r="U9" s="362">
        <f>'Key Assumptions &amp; Drivers'!S36</f>
        <v>83771.2086901491</v>
      </c>
      <c r="V9" s="264"/>
      <c r="W9" s="8"/>
      <c r="X9" s="8"/>
      <c r="Y9" s="8"/>
      <c r="Z9" s="25"/>
    </row>
    <row r="10" ht="13.75" customHeight="1">
      <c r="A10" s="260"/>
      <c r="B10" t="s" s="363">
        <v>188</v>
      </c>
      <c r="C10" s="364">
        <f>'Key Assumptions &amp; Drivers'!$D$19</f>
        <v>12.96</v>
      </c>
      <c r="D10" s="365"/>
      <c r="E10" s="366">
        <v>0</v>
      </c>
      <c r="F10" s="366">
        <f>$C$10</f>
        <v>12.96</v>
      </c>
      <c r="G10" s="366">
        <f>$C$10</f>
        <v>12.96</v>
      </c>
      <c r="H10" s="366">
        <f>$C$10</f>
        <v>12.96</v>
      </c>
      <c r="I10" s="366">
        <f>$C$10</f>
        <v>12.96</v>
      </c>
      <c r="J10" s="366">
        <f>$C$10</f>
        <v>12.96</v>
      </c>
      <c r="K10" s="366">
        <f>$C$10</f>
        <v>12.96</v>
      </c>
      <c r="L10" s="366">
        <f>$C$10</f>
        <v>12.96</v>
      </c>
      <c r="M10" s="366">
        <f>$C$10</f>
        <v>12.96</v>
      </c>
      <c r="N10" s="366">
        <f>$C$10</f>
        <v>12.96</v>
      </c>
      <c r="O10" s="366">
        <f>$C$10</f>
        <v>12.96</v>
      </c>
      <c r="P10" s="366">
        <f>$C$10</f>
        <v>12.96</v>
      </c>
      <c r="Q10" s="366">
        <f>P10</f>
        <v>12.96</v>
      </c>
      <c r="R10" s="366">
        <f>$C$10</f>
        <v>12.96</v>
      </c>
      <c r="S10" s="366">
        <f>$C$10</f>
        <v>12.96</v>
      </c>
      <c r="T10" s="366">
        <f>$C$10</f>
        <v>12.96</v>
      </c>
      <c r="U10" s="367">
        <f>$C$10</f>
        <v>12.96</v>
      </c>
      <c r="V10" s="264"/>
      <c r="W10" s="8"/>
      <c r="X10" s="8"/>
      <c r="Y10" s="8"/>
      <c r="Z10" s="25"/>
    </row>
    <row r="11" ht="13.75" customHeight="1">
      <c r="A11" s="260"/>
      <c r="B11" s="368"/>
      <c r="C11" s="364"/>
      <c r="D11" s="365"/>
      <c r="E11" s="366"/>
      <c r="F11" s="369"/>
      <c r="G11" s="369"/>
      <c r="H11" s="369"/>
      <c r="I11" s="369"/>
      <c r="J11" s="369"/>
      <c r="K11" s="369"/>
      <c r="L11" s="369"/>
      <c r="M11" s="369"/>
      <c r="N11" s="369"/>
      <c r="O11" s="369"/>
      <c r="P11" s="369"/>
      <c r="Q11" s="366"/>
      <c r="R11" s="369"/>
      <c r="S11" s="369"/>
      <c r="T11" s="369"/>
      <c r="U11" s="370"/>
      <c r="V11" s="264"/>
      <c r="W11" s="8"/>
      <c r="X11" s="8"/>
      <c r="Y11" s="8"/>
      <c r="Z11" s="25"/>
    </row>
    <row r="12" ht="13.75" customHeight="1">
      <c r="A12" s="260"/>
      <c r="B12" t="s" s="363">
        <v>189</v>
      </c>
      <c r="C12" s="364"/>
      <c r="D12" s="365"/>
      <c r="E12" s="366"/>
      <c r="F12" s="361">
        <f>'Key Assumptions &amp; Drivers'!E28</f>
        <v>100</v>
      </c>
      <c r="G12" s="361">
        <f>'Key Assumptions &amp; Drivers'!F28</f>
        <v>200</v>
      </c>
      <c r="H12" s="361">
        <f>'Key Assumptions &amp; Drivers'!G28</f>
        <v>300</v>
      </c>
      <c r="I12" s="361">
        <f>'Key Assumptions &amp; Drivers'!H28</f>
        <v>400</v>
      </c>
      <c r="J12" s="361">
        <f>'Key Assumptions &amp; Drivers'!I28</f>
        <v>500</v>
      </c>
      <c r="K12" s="361">
        <f>'Key Assumptions &amp; Drivers'!J28</f>
        <v>600</v>
      </c>
      <c r="L12" s="361">
        <f>'Key Assumptions &amp; Drivers'!K28</f>
        <v>700</v>
      </c>
      <c r="M12" s="361">
        <f>'Key Assumptions &amp; Drivers'!L28</f>
        <v>800</v>
      </c>
      <c r="N12" s="361">
        <f>'Key Assumptions &amp; Drivers'!M28</f>
        <v>900</v>
      </c>
      <c r="O12" s="361">
        <f>'Key Assumptions &amp; Drivers'!N28</f>
        <v>1000</v>
      </c>
      <c r="P12" s="361">
        <f>'Key Assumptions &amp; Drivers'!O28</f>
        <v>1100</v>
      </c>
      <c r="Q12" s="252">
        <f>P12</f>
        <v>1100</v>
      </c>
      <c r="R12" s="252">
        <f>'Key Assumptions &amp; Drivers'!P28</f>
        <v>1200</v>
      </c>
      <c r="S12" s="252">
        <f>'Key Assumptions &amp; Drivers'!Q28</f>
        <v>1296</v>
      </c>
      <c r="T12" s="252">
        <f>'Key Assumptions &amp; Drivers'!R28</f>
        <v>1399.68</v>
      </c>
      <c r="U12" s="362">
        <f>'Key Assumptions &amp; Drivers'!S28</f>
        <v>1511.6544</v>
      </c>
      <c r="V12" s="264"/>
      <c r="W12" s="8"/>
      <c r="X12" s="8"/>
      <c r="Y12" s="8"/>
      <c r="Z12" s="25"/>
    </row>
    <row r="13" ht="13.75" customHeight="1">
      <c r="A13" s="260"/>
      <c r="B13" t="s" s="363">
        <v>190</v>
      </c>
      <c r="C13" s="364">
        <f>'Key Assumptions &amp; Drivers'!$D$22</f>
        <v>25.993</v>
      </c>
      <c r="D13" s="365"/>
      <c r="E13" s="366"/>
      <c r="F13" s="371">
        <f>$C$13</f>
        <v>25.993</v>
      </c>
      <c r="G13" s="371">
        <f>$C$13</f>
        <v>25.993</v>
      </c>
      <c r="H13" s="371">
        <f>$C$13</f>
        <v>25.993</v>
      </c>
      <c r="I13" s="371">
        <f>$C$13</f>
        <v>25.993</v>
      </c>
      <c r="J13" s="371">
        <f>$C$13</f>
        <v>25.993</v>
      </c>
      <c r="K13" s="371">
        <f>$C$13</f>
        <v>25.993</v>
      </c>
      <c r="L13" s="371">
        <f>$C$13</f>
        <v>25.993</v>
      </c>
      <c r="M13" s="371">
        <f>$C$13</f>
        <v>25.993</v>
      </c>
      <c r="N13" s="371">
        <f>$C$13</f>
        <v>25.993</v>
      </c>
      <c r="O13" s="371">
        <f>$C$13</f>
        <v>25.993</v>
      </c>
      <c r="P13" s="371">
        <f>$C$13</f>
        <v>25.993</v>
      </c>
      <c r="Q13" s="371">
        <f>$C$13</f>
        <v>25.993</v>
      </c>
      <c r="R13" s="371">
        <f>$C$13</f>
        <v>25.993</v>
      </c>
      <c r="S13" s="371">
        <f>$C$13</f>
        <v>25.993</v>
      </c>
      <c r="T13" s="371">
        <f>$C$13</f>
        <v>25.993</v>
      </c>
      <c r="U13" s="372">
        <f>$C$13</f>
        <v>25.993</v>
      </c>
      <c r="V13" s="264"/>
      <c r="W13" s="8"/>
      <c r="X13" s="8"/>
      <c r="Y13" s="8"/>
      <c r="Z13" s="25"/>
    </row>
    <row r="14" ht="13.5" customHeight="1">
      <c r="A14" s="260"/>
      <c r="B14" s="373"/>
      <c r="C14" s="374"/>
      <c r="D14" s="375"/>
      <c r="E14" s="376"/>
      <c r="F14" s="376"/>
      <c r="G14" s="376"/>
      <c r="H14" s="376"/>
      <c r="I14" s="376"/>
      <c r="J14" s="376"/>
      <c r="K14" s="376"/>
      <c r="L14" s="376"/>
      <c r="M14" s="376"/>
      <c r="N14" s="376"/>
      <c r="O14" s="376"/>
      <c r="P14" s="376"/>
      <c r="Q14" s="376"/>
      <c r="R14" s="376"/>
      <c r="S14" s="376"/>
      <c r="T14" s="376"/>
      <c r="U14" s="377"/>
      <c r="V14" s="264"/>
      <c r="W14" s="8"/>
      <c r="X14" s="8"/>
      <c r="Y14" s="8"/>
      <c r="Z14" s="25"/>
    </row>
    <row r="15" ht="13.5" customHeight="1">
      <c r="A15" s="260"/>
      <c r="B15" t="s" s="378">
        <v>191</v>
      </c>
      <c r="C15" s="379"/>
      <c r="D15" s="379"/>
      <c r="E15" s="380">
        <f>(E9*E10)+(E12*E13)</f>
        <v>0</v>
      </c>
      <c r="F15" s="380">
        <f>(F9*F10)+(F12*F13)</f>
        <v>84543.397862348793</v>
      </c>
      <c r="G15" s="380">
        <f>(G9*G10)+(G12*G13)</f>
        <v>87142.6978623488</v>
      </c>
      <c r="H15" s="380">
        <f>(H9*H10)+(H12*H13)</f>
        <v>89741.9978623488</v>
      </c>
      <c r="I15" s="380">
        <f>(I9*I10)+(I12*I13)</f>
        <v>92341.2978623488</v>
      </c>
      <c r="J15" s="380">
        <f>(J9*J10)+(J12*J13)</f>
        <v>94940.5978623488</v>
      </c>
      <c r="K15" s="380">
        <f>(K9*K10)+(K12*K13)</f>
        <v>99178.7798195958</v>
      </c>
      <c r="L15" s="380">
        <f>(L9*L10)+(L12*L13)</f>
        <v>101778.079819596</v>
      </c>
      <c r="M15" s="380">
        <f>(M9*M10)+(M12*M13)</f>
        <v>104377.379819596</v>
      </c>
      <c r="N15" s="380">
        <f>(N9*N10)+(N12*N13)</f>
        <v>106976.679819596</v>
      </c>
      <c r="O15" s="380">
        <f>(O9*O10)+(O12*O13)</f>
        <v>109575.979819596</v>
      </c>
      <c r="P15" s="380">
        <f>(P9*P10)+(P12*P13)</f>
        <v>112175.279819596</v>
      </c>
      <c r="Q15" s="380">
        <f>SUM(F15:P15)</f>
        <v>1082772.16822932</v>
      </c>
      <c r="R15" s="380">
        <f>(R9*R10)+(R12*R13*12)</f>
        <v>1397354.87299185</v>
      </c>
      <c r="S15" s="380">
        <f>(S9*S10)+(S12*S13*12)</f>
        <v>1447759.92245169</v>
      </c>
      <c r="T15" s="380">
        <f>(T9*T10)+(T12*T13*12)</f>
        <v>1500969.70906072</v>
      </c>
      <c r="U15" s="381">
        <f>(U9*U10)+(U12*U13*12)</f>
        <v>1557184.05845473</v>
      </c>
      <c r="V15" s="264"/>
      <c r="W15" s="8"/>
      <c r="X15" s="8"/>
      <c r="Y15" s="8"/>
      <c r="Z15" s="25"/>
    </row>
    <row r="16" ht="14.25" customHeight="1">
      <c r="A16" s="260"/>
      <c r="B16" s="382"/>
      <c r="C16" s="383"/>
      <c r="D16" s="383"/>
      <c r="E16" s="384"/>
      <c r="F16" s="384"/>
      <c r="G16" s="384"/>
      <c r="H16" s="384"/>
      <c r="I16" s="384"/>
      <c r="J16" s="384"/>
      <c r="K16" s="384"/>
      <c r="L16" s="384"/>
      <c r="M16" s="384"/>
      <c r="N16" s="384"/>
      <c r="O16" s="384"/>
      <c r="P16" s="384"/>
      <c r="Q16" s="384"/>
      <c r="R16" s="384"/>
      <c r="S16" s="384"/>
      <c r="T16" s="384"/>
      <c r="U16" s="385"/>
      <c r="V16" s="264"/>
      <c r="W16" s="8"/>
      <c r="X16" s="8"/>
      <c r="Y16" s="8"/>
      <c r="Z16" s="25"/>
    </row>
    <row r="17" ht="13.5" customHeight="1">
      <c r="A17" s="260"/>
      <c r="B17" t="s" s="386">
        <v>192</v>
      </c>
      <c r="C17" s="387"/>
      <c r="D17" s="387"/>
      <c r="E17" s="388">
        <v>0</v>
      </c>
      <c r="F17" s="388">
        <v>0</v>
      </c>
      <c r="G17" s="388">
        <v>0</v>
      </c>
      <c r="H17" s="388">
        <v>0</v>
      </c>
      <c r="I17" s="388">
        <v>0</v>
      </c>
      <c r="J17" s="388">
        <v>0</v>
      </c>
      <c r="K17" s="388">
        <v>0</v>
      </c>
      <c r="L17" s="388">
        <v>0</v>
      </c>
      <c r="M17" s="388">
        <v>0</v>
      </c>
      <c r="N17" s="388">
        <v>0</v>
      </c>
      <c r="O17" s="388">
        <v>0</v>
      </c>
      <c r="P17" s="388">
        <v>0</v>
      </c>
      <c r="Q17" s="389">
        <v>0</v>
      </c>
      <c r="R17" s="388">
        <v>0</v>
      </c>
      <c r="S17" s="388">
        <v>0</v>
      </c>
      <c r="T17" s="388">
        <v>0</v>
      </c>
      <c r="U17" s="390">
        <v>0</v>
      </c>
      <c r="V17" s="264"/>
      <c r="W17" s="8"/>
      <c r="X17" s="8"/>
      <c r="Y17" s="8"/>
      <c r="Z17" s="25"/>
    </row>
    <row r="18" ht="13.5" customHeight="1">
      <c r="A18" s="260"/>
      <c r="B18" t="s" s="378">
        <v>193</v>
      </c>
      <c r="C18" s="379"/>
      <c r="D18" s="379"/>
      <c r="E18" s="380">
        <f>E15+E17</f>
        <v>0</v>
      </c>
      <c r="F18" s="380">
        <f>F15+F17</f>
        <v>84543.397862348793</v>
      </c>
      <c r="G18" s="380">
        <f>G15+G17</f>
        <v>87142.6978623488</v>
      </c>
      <c r="H18" s="380">
        <f>H15+H17</f>
        <v>89741.9978623488</v>
      </c>
      <c r="I18" s="380">
        <f>I15+I17</f>
        <v>92341.2978623488</v>
      </c>
      <c r="J18" s="380">
        <f>J15+J17</f>
        <v>94940.5978623488</v>
      </c>
      <c r="K18" s="380">
        <f>K15+K17</f>
        <v>99178.7798195958</v>
      </c>
      <c r="L18" s="380">
        <f>L15+L17</f>
        <v>101778.079819596</v>
      </c>
      <c r="M18" s="380">
        <f>M15+M17</f>
        <v>104377.379819596</v>
      </c>
      <c r="N18" s="380">
        <f>N15+N17</f>
        <v>106976.679819596</v>
      </c>
      <c r="O18" s="380">
        <f>O15+O17</f>
        <v>109575.979819596</v>
      </c>
      <c r="P18" s="380">
        <f>P15+P17</f>
        <v>112175.279819596</v>
      </c>
      <c r="Q18" s="380">
        <f>Q15+Q17</f>
        <v>1082772.16822932</v>
      </c>
      <c r="R18" s="380">
        <f>R15+R17</f>
        <v>1397354.87299185</v>
      </c>
      <c r="S18" s="380">
        <f>S15+S17</f>
        <v>1447759.92245169</v>
      </c>
      <c r="T18" s="380">
        <f>T15+T17</f>
        <v>1500969.70906072</v>
      </c>
      <c r="U18" s="381">
        <f>U15+U17</f>
        <v>1557184.05845473</v>
      </c>
      <c r="V18" s="264"/>
      <c r="W18" s="8"/>
      <c r="X18" s="8"/>
      <c r="Y18" s="8"/>
      <c r="Z18" s="25"/>
    </row>
    <row r="19" ht="14.25" customHeight="1">
      <c r="A19" s="260"/>
      <c r="B19" s="382"/>
      <c r="C19" s="383"/>
      <c r="D19" s="383"/>
      <c r="E19" s="383"/>
      <c r="F19" s="383"/>
      <c r="G19" s="383"/>
      <c r="H19" s="383"/>
      <c r="I19" s="383"/>
      <c r="J19" s="383"/>
      <c r="K19" s="383"/>
      <c r="L19" s="383"/>
      <c r="M19" s="383"/>
      <c r="N19" s="383"/>
      <c r="O19" s="383"/>
      <c r="P19" s="383"/>
      <c r="Q19" s="383"/>
      <c r="R19" s="383"/>
      <c r="S19" s="383"/>
      <c r="T19" s="383"/>
      <c r="U19" s="391"/>
      <c r="V19" s="264"/>
      <c r="W19" s="8"/>
      <c r="X19" s="8"/>
      <c r="Y19" s="8"/>
      <c r="Z19" s="25"/>
    </row>
    <row r="20" ht="13.75" customHeight="1">
      <c r="A20" s="260"/>
      <c r="B20" t="s" s="392">
        <v>194</v>
      </c>
      <c r="C20" s="393"/>
      <c r="D20" s="393"/>
      <c r="E20" s="393"/>
      <c r="F20" s="393"/>
      <c r="G20" s="393"/>
      <c r="H20" s="393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4"/>
      <c r="V20" s="264"/>
      <c r="W20" s="8"/>
      <c r="X20" s="8"/>
      <c r="Y20" s="8"/>
      <c r="Z20" s="25"/>
    </row>
    <row r="21" ht="13.75" customHeight="1">
      <c r="A21" s="260"/>
      <c r="B21" t="s" s="359">
        <v>195</v>
      </c>
      <c r="C21" s="395">
        <f>'Key Assumptions &amp; Drivers'!$D$11</f>
        <v>0.02</v>
      </c>
      <c r="D21" s="393"/>
      <c r="E21" s="259">
        <f>-E18*$C$21</f>
        <v>0</v>
      </c>
      <c r="F21" s="259">
        <f>-F18*$C$21</f>
        <v>-1690.867957246980</v>
      </c>
      <c r="G21" s="259">
        <f>-G18*$C$21</f>
        <v>-1742.853957246980</v>
      </c>
      <c r="H21" s="259">
        <f>-H18*$C$21</f>
        <v>-1794.839957246980</v>
      </c>
      <c r="I21" s="259">
        <f>-I18*$C$21</f>
        <v>-1846.825957246980</v>
      </c>
      <c r="J21" s="259">
        <f>-J18*$C$21</f>
        <v>-1898.811957246980</v>
      </c>
      <c r="K21" s="259">
        <f>-K18*$C$21</f>
        <v>-1983.575596391920</v>
      </c>
      <c r="L21" s="259">
        <f>-L18*$C$21</f>
        <v>-2035.561596391920</v>
      </c>
      <c r="M21" s="259">
        <f>-M18*$C$21</f>
        <v>-2087.547596391920</v>
      </c>
      <c r="N21" s="259">
        <f>-N18*$C$21</f>
        <v>-2139.533596391920</v>
      </c>
      <c r="O21" s="259">
        <f>-O18*$C$21</f>
        <v>-2191.519596391920</v>
      </c>
      <c r="P21" s="259">
        <f>-P18*$C$21</f>
        <v>-2243.505596391920</v>
      </c>
      <c r="Q21" s="259">
        <f>SUM(E21:P21)</f>
        <v>-21655.4433645864</v>
      </c>
      <c r="R21" s="259">
        <f>-R18*$C$21</f>
        <v>-27947.097459837</v>
      </c>
      <c r="S21" s="259">
        <f>-S18*$C$21</f>
        <v>-28955.1984490338</v>
      </c>
      <c r="T21" s="259">
        <f>-T18*$C$21</f>
        <v>-30019.3941812144</v>
      </c>
      <c r="U21" s="396">
        <f>-U18*$C$21</f>
        <v>-31143.6811690946</v>
      </c>
      <c r="V21" s="264"/>
      <c r="W21" s="8"/>
      <c r="X21" s="8"/>
      <c r="Y21" s="8"/>
      <c r="Z21" s="25"/>
    </row>
    <row r="22" ht="13.75" customHeight="1">
      <c r="A22" s="260"/>
      <c r="B22" t="s" s="359">
        <v>196</v>
      </c>
      <c r="C22" s="397"/>
      <c r="D22" s="393"/>
      <c r="E22" s="398">
        <v>0</v>
      </c>
      <c r="F22" s="398">
        <v>0</v>
      </c>
      <c r="G22" s="398">
        <v>0</v>
      </c>
      <c r="H22" s="398">
        <v>0</v>
      </c>
      <c r="I22" s="398">
        <v>0</v>
      </c>
      <c r="J22" s="398">
        <v>0</v>
      </c>
      <c r="K22" s="398">
        <v>0</v>
      </c>
      <c r="L22" s="398">
        <v>0</v>
      </c>
      <c r="M22" s="398">
        <v>0</v>
      </c>
      <c r="N22" s="398">
        <v>0</v>
      </c>
      <c r="O22" s="398">
        <v>0</v>
      </c>
      <c r="P22" s="398">
        <v>0</v>
      </c>
      <c r="Q22" s="398">
        <v>0</v>
      </c>
      <c r="R22" s="398">
        <v>0</v>
      </c>
      <c r="S22" s="398">
        <v>0</v>
      </c>
      <c r="T22" s="398">
        <v>0</v>
      </c>
      <c r="U22" s="399">
        <v>0</v>
      </c>
      <c r="V22" s="264"/>
      <c r="W22" s="8"/>
      <c r="X22" s="8"/>
      <c r="Y22" s="8"/>
      <c r="Z22" s="25"/>
    </row>
    <row r="23" ht="13.5" customHeight="1">
      <c r="A23" s="260"/>
      <c r="B23" s="400"/>
      <c r="C23" s="401"/>
      <c r="D23" s="401"/>
      <c r="E23" s="387"/>
      <c r="F23" s="387"/>
      <c r="G23" s="387"/>
      <c r="H23" s="387"/>
      <c r="I23" s="387"/>
      <c r="J23" s="387"/>
      <c r="K23" s="387"/>
      <c r="L23" s="387"/>
      <c r="M23" s="387"/>
      <c r="N23" s="387"/>
      <c r="O23" s="387"/>
      <c r="P23" s="387"/>
      <c r="Q23" s="387"/>
      <c r="R23" s="387"/>
      <c r="S23" s="387"/>
      <c r="T23" s="387"/>
      <c r="U23" s="402"/>
      <c r="V23" s="264"/>
      <c r="W23" s="8"/>
      <c r="X23" s="8"/>
      <c r="Y23" s="8"/>
      <c r="Z23" s="25"/>
    </row>
    <row r="24" ht="13.5" customHeight="1">
      <c r="A24" s="260"/>
      <c r="B24" t="s" s="403">
        <v>197</v>
      </c>
      <c r="C24" s="404"/>
      <c r="D24" s="404"/>
      <c r="E24" s="405">
        <f>E18+E21+E22</f>
        <v>0</v>
      </c>
      <c r="F24" s="405">
        <f>F18+F21+F22</f>
        <v>82852.529905101794</v>
      </c>
      <c r="G24" s="405">
        <f>G18+G21+G22</f>
        <v>85399.843905101807</v>
      </c>
      <c r="H24" s="405">
        <f>H18+H21+H22</f>
        <v>87947.157905101805</v>
      </c>
      <c r="I24" s="405">
        <f>I18+I21+I22</f>
        <v>90494.4719051018</v>
      </c>
      <c r="J24" s="405">
        <f>J18+J21+J22</f>
        <v>93041.7859051018</v>
      </c>
      <c r="K24" s="405">
        <f>K18+K21+K22</f>
        <v>97195.204223203895</v>
      </c>
      <c r="L24" s="405">
        <f>L18+L21+L22</f>
        <v>99742.5182232041</v>
      </c>
      <c r="M24" s="405">
        <f>M18+M21+M22</f>
        <v>102289.832223204</v>
      </c>
      <c r="N24" s="405">
        <f>N18+N21+N22</f>
        <v>104837.146223204</v>
      </c>
      <c r="O24" s="405">
        <f>O18+O21+O22</f>
        <v>107384.460223204</v>
      </c>
      <c r="P24" s="405">
        <f>P18+P21+P22</f>
        <v>109931.774223204</v>
      </c>
      <c r="Q24" s="405">
        <f>Q18+Q21+Q22</f>
        <v>1061116.72486473</v>
      </c>
      <c r="R24" s="405">
        <f>R18+R21+R22</f>
        <v>1369407.77553201</v>
      </c>
      <c r="S24" s="405">
        <f>S18+S21+S22</f>
        <v>1418804.72400266</v>
      </c>
      <c r="T24" s="405">
        <f>T18+T21+T22</f>
        <v>1470950.31487951</v>
      </c>
      <c r="U24" s="406">
        <f>U18+U21+U22</f>
        <v>1526040.37728564</v>
      </c>
      <c r="V24" s="264"/>
      <c r="W24" s="8"/>
      <c r="X24" s="8"/>
      <c r="Y24" s="8"/>
      <c r="Z24" s="25"/>
    </row>
    <row r="25" ht="14.25" customHeight="1">
      <c r="A25" s="23"/>
      <c r="B25" s="407"/>
      <c r="C25" s="408"/>
      <c r="D25" s="408"/>
      <c r="E25" s="408"/>
      <c r="F25" s="408"/>
      <c r="G25" s="408"/>
      <c r="H25" s="408"/>
      <c r="I25" s="408"/>
      <c r="J25" s="408"/>
      <c r="K25" s="408"/>
      <c r="L25" s="408"/>
      <c r="M25" s="408"/>
      <c r="N25" s="408"/>
      <c r="O25" s="408"/>
      <c r="P25" s="408"/>
      <c r="Q25" s="408"/>
      <c r="R25" s="408"/>
      <c r="S25" s="408"/>
      <c r="T25" s="408"/>
      <c r="U25" s="408"/>
      <c r="V25" s="8"/>
      <c r="W25" s="8"/>
      <c r="X25" s="8"/>
      <c r="Y25" s="8"/>
      <c r="Z25" s="25"/>
    </row>
    <row r="26" ht="13.75" customHeight="1">
      <c r="A26" s="23"/>
      <c r="B26" s="6"/>
      <c r="C26" s="393"/>
      <c r="D26" s="393"/>
      <c r="E26" s="409"/>
      <c r="F26" s="409"/>
      <c r="G26" s="409"/>
      <c r="H26" s="409"/>
      <c r="I26" s="6"/>
      <c r="J26" s="6"/>
      <c r="K26" s="6"/>
      <c r="L26" s="6"/>
      <c r="M26" s="6"/>
      <c r="N26" s="6"/>
      <c r="O26" s="6"/>
      <c r="P26" s="6"/>
      <c r="Q26" s="8"/>
      <c r="R26" s="8"/>
      <c r="S26" s="8"/>
      <c r="T26" s="8"/>
      <c r="U26" s="8"/>
      <c r="V26" s="8"/>
      <c r="W26" s="8"/>
      <c r="X26" s="8"/>
      <c r="Y26" s="8"/>
      <c r="Z26" s="25"/>
    </row>
    <row r="27" ht="13.5" customHeight="1">
      <c r="A27" s="23"/>
      <c r="B27" s="410"/>
      <c r="C27" s="411"/>
      <c r="D27" s="411"/>
      <c r="E27" s="412"/>
      <c r="F27" s="412"/>
      <c r="G27" s="412"/>
      <c r="H27" s="412"/>
      <c r="I27" s="410"/>
      <c r="J27" s="410"/>
      <c r="K27" s="410"/>
      <c r="L27" s="410"/>
      <c r="M27" s="410"/>
      <c r="N27" s="410"/>
      <c r="O27" s="410"/>
      <c r="P27" s="410"/>
      <c r="Q27" s="217"/>
      <c r="R27" s="217"/>
      <c r="S27" s="217"/>
      <c r="T27" s="217"/>
      <c r="U27" s="217"/>
      <c r="V27" s="8"/>
      <c r="W27" s="8"/>
      <c r="X27" s="8"/>
      <c r="Y27" s="8"/>
      <c r="Z27" s="25"/>
    </row>
    <row r="28" ht="13.5" customHeight="1">
      <c r="A28" s="260"/>
      <c r="B28" t="s" s="346">
        <v>198</v>
      </c>
      <c r="C28" s="347"/>
      <c r="D28" s="350"/>
      <c r="E28" s="350"/>
      <c r="F28" s="350"/>
      <c r="G28" s="350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1"/>
      <c r="V28" s="264"/>
      <c r="W28" s="8"/>
      <c r="X28" s="8"/>
      <c r="Y28" s="8"/>
      <c r="Z28" s="25"/>
    </row>
    <row r="29" ht="13.5" customHeight="1">
      <c r="A29" s="260"/>
      <c r="B29" s="352"/>
      <c r="C29" t="s" s="353">
        <v>113</v>
      </c>
      <c r="D29" s="354"/>
      <c r="E29" t="s" s="224">
        <v>31</v>
      </c>
      <c r="F29" s="226">
        <v>43313</v>
      </c>
      <c r="G29" s="226">
        <v>43344</v>
      </c>
      <c r="H29" s="226">
        <v>43374</v>
      </c>
      <c r="I29" s="226">
        <v>43405</v>
      </c>
      <c r="J29" s="226">
        <v>43435</v>
      </c>
      <c r="K29" s="226">
        <v>43466</v>
      </c>
      <c r="L29" s="226">
        <v>43497</v>
      </c>
      <c r="M29" s="226">
        <v>43525</v>
      </c>
      <c r="N29" s="226">
        <v>43556</v>
      </c>
      <c r="O29" s="226">
        <v>43586</v>
      </c>
      <c r="P29" s="226">
        <v>43617</v>
      </c>
      <c r="Q29" t="s" s="227">
        <v>114</v>
      </c>
      <c r="R29" s="274">
        <v>43983</v>
      </c>
      <c r="S29" s="274">
        <v>44348</v>
      </c>
      <c r="T29" s="274">
        <v>44713</v>
      </c>
      <c r="U29" s="275">
        <v>45078</v>
      </c>
      <c r="V29" s="264"/>
      <c r="W29" s="8"/>
      <c r="X29" s="8"/>
      <c r="Y29" s="8"/>
      <c r="Z29" s="25"/>
    </row>
    <row r="30" ht="14.25" customHeight="1">
      <c r="A30" s="260"/>
      <c r="B30" s="355"/>
      <c r="C30" s="413"/>
      <c r="D30" s="413"/>
      <c r="E30" t="s" s="231">
        <v>115</v>
      </c>
      <c r="F30" t="s" s="231">
        <v>115</v>
      </c>
      <c r="G30" t="s" s="231">
        <v>115</v>
      </c>
      <c r="H30" t="s" s="231">
        <v>115</v>
      </c>
      <c r="I30" t="s" s="231">
        <v>115</v>
      </c>
      <c r="J30" t="s" s="231">
        <v>115</v>
      </c>
      <c r="K30" t="s" s="231">
        <v>115</v>
      </c>
      <c r="L30" t="s" s="231">
        <v>115</v>
      </c>
      <c r="M30" t="s" s="231">
        <v>115</v>
      </c>
      <c r="N30" t="s" s="231">
        <v>115</v>
      </c>
      <c r="O30" t="s" s="231">
        <v>115</v>
      </c>
      <c r="P30" t="s" s="231">
        <v>115</v>
      </c>
      <c r="Q30" t="s" s="231">
        <v>115</v>
      </c>
      <c r="R30" t="s" s="231">
        <v>115</v>
      </c>
      <c r="S30" t="s" s="231">
        <v>115</v>
      </c>
      <c r="T30" t="s" s="231">
        <v>115</v>
      </c>
      <c r="U30" t="s" s="357">
        <v>115</v>
      </c>
      <c r="V30" s="264"/>
      <c r="W30" s="8"/>
      <c r="X30" s="8"/>
      <c r="Y30" s="8"/>
      <c r="Z30" s="25"/>
    </row>
    <row r="31" ht="13.75" customHeight="1">
      <c r="A31" s="260"/>
      <c r="B31" t="s" s="414">
        <v>199</v>
      </c>
      <c r="C31" s="415"/>
      <c r="D31" s="416"/>
      <c r="E31" s="278"/>
      <c r="F31" s="278"/>
      <c r="G31" s="278"/>
      <c r="H31" s="278"/>
      <c r="I31" s="259"/>
      <c r="J31" s="259"/>
      <c r="K31" s="259"/>
      <c r="L31" s="259"/>
      <c r="M31" s="259"/>
      <c r="N31" s="259"/>
      <c r="O31" s="259"/>
      <c r="P31" s="259"/>
      <c r="Q31" s="252"/>
      <c r="R31" s="252"/>
      <c r="S31" s="252"/>
      <c r="T31" s="252"/>
      <c r="U31" s="417"/>
      <c r="V31" s="264"/>
      <c r="W31" s="8"/>
      <c r="X31" s="8"/>
      <c r="Y31" s="8"/>
      <c r="Z31" s="25"/>
    </row>
    <row r="32" ht="13.75" customHeight="1">
      <c r="A32" s="260"/>
      <c r="B32" s="358"/>
      <c r="C32" s="415"/>
      <c r="D32" s="418"/>
      <c r="E32" s="278"/>
      <c r="F32" s="278"/>
      <c r="G32" s="278"/>
      <c r="H32" s="278"/>
      <c r="I32" s="278"/>
      <c r="J32" s="278"/>
      <c r="K32" s="278"/>
      <c r="L32" s="278"/>
      <c r="M32" s="278"/>
      <c r="N32" s="278"/>
      <c r="O32" s="278"/>
      <c r="P32" s="278"/>
      <c r="Q32" s="259"/>
      <c r="R32" s="278"/>
      <c r="S32" s="278"/>
      <c r="T32" s="278"/>
      <c r="U32" s="417"/>
      <c r="V32" s="264"/>
      <c r="W32" s="8"/>
      <c r="X32" s="8"/>
      <c r="Y32" s="8"/>
      <c r="Z32" s="25"/>
    </row>
    <row r="33" ht="13.75" customHeight="1">
      <c r="A33" s="260"/>
      <c r="B33" t="s" s="359">
        <v>44</v>
      </c>
      <c r="C33" t="s" s="419">
        <v>200</v>
      </c>
      <c r="D33" s="418"/>
      <c r="E33" s="308">
        <f>'Note F - Other analysis'!E23</f>
        <v>0</v>
      </c>
      <c r="F33" s="308">
        <f>'Note F - Other analysis'!F23</f>
        <v>3904.271152024320</v>
      </c>
      <c r="G33" s="308">
        <f>'Note F - Other analysis'!G23</f>
        <v>4052.771152024320</v>
      </c>
      <c r="H33" s="308">
        <f>'Note F - Other analysis'!H23</f>
        <v>4201.271152024320</v>
      </c>
      <c r="I33" s="308">
        <f>'Note F - Other analysis'!I23</f>
        <v>4349.771152024320</v>
      </c>
      <c r="J33" s="308">
        <f>'Note F - Other analysis'!J23</f>
        <v>4498.271152024320</v>
      </c>
      <c r="K33" s="308">
        <f>'Note F - Other analysis'!K23</f>
        <v>4721.886575064810</v>
      </c>
      <c r="L33" s="308">
        <f>'Note F - Other analysis'!L23</f>
        <v>4870.386575064810</v>
      </c>
      <c r="M33" s="308">
        <f>'Note F - Other analysis'!M23</f>
        <v>5018.886575064810</v>
      </c>
      <c r="N33" s="308">
        <f>'Note F - Other analysis'!N23</f>
        <v>5167.386575064810</v>
      </c>
      <c r="O33" s="308">
        <f>'Note F - Other analysis'!O23</f>
        <v>5315.886575064810</v>
      </c>
      <c r="P33" s="308">
        <f>'Note F - Other analysis'!P23</f>
        <v>5464.386575064810</v>
      </c>
      <c r="Q33" s="308">
        <f>'Note F - Other analysis'!Q23</f>
        <v>51565.1752105105</v>
      </c>
      <c r="R33" s="308">
        <f>'Note F - Other analysis'!R23</f>
        <v>68274.051678793</v>
      </c>
      <c r="S33" s="308">
        <f>'Note F - Other analysis'!S23</f>
        <v>70922.5727123691</v>
      </c>
      <c r="T33" s="308">
        <f>'Note F - Other analysis'!T23</f>
        <v>73726.7073666166</v>
      </c>
      <c r="U33" s="420">
        <f>'Note F - Other analysis'!U23</f>
        <v>76697.7793699485</v>
      </c>
      <c r="V33" s="264"/>
      <c r="W33" s="8"/>
      <c r="X33" s="8"/>
      <c r="Y33" s="8"/>
      <c r="Z33" s="25"/>
    </row>
    <row r="34" ht="13.75" customHeight="1">
      <c r="A34" s="260"/>
      <c r="B34" t="s" s="359">
        <v>48</v>
      </c>
      <c r="C34" t="s" s="419">
        <v>200</v>
      </c>
      <c r="D34" s="418"/>
      <c r="E34" s="308">
        <f>'Note F - Other analysis'!E18</f>
        <v>0</v>
      </c>
      <c r="F34" s="308">
        <f>'Note F - Other analysis'!F18</f>
        <v>262.9138822912</v>
      </c>
      <c r="G34" s="308">
        <f>'Note F - Other analysis'!G18</f>
        <v>272.9138822912</v>
      </c>
      <c r="H34" s="308">
        <f>'Note F - Other analysis'!H18</f>
        <v>282.9138822912</v>
      </c>
      <c r="I34" s="308">
        <f>'Note F - Other analysis'!I18</f>
        <v>292.9138822912</v>
      </c>
      <c r="J34" s="308">
        <f>'Note F - Other analysis'!J18</f>
        <v>302.9138822912</v>
      </c>
      <c r="K34" s="308">
        <f>'Note F - Other analysis'!K18</f>
        <v>317.972159937024</v>
      </c>
      <c r="L34" s="308">
        <f>'Note F - Other analysis'!L18</f>
        <v>327.972159937024</v>
      </c>
      <c r="M34" s="308">
        <f>'Note F - Other analysis'!M18</f>
        <v>337.972159937024</v>
      </c>
      <c r="N34" s="308">
        <f>'Note F - Other analysis'!N18</f>
        <v>347.972159937024</v>
      </c>
      <c r="O34" s="308">
        <f>'Note F - Other analysis'!O18</f>
        <v>357.972159937024</v>
      </c>
      <c r="P34" s="308">
        <f>'Note F - Other analysis'!P18</f>
        <v>367.972159937024</v>
      </c>
      <c r="Q34" s="308">
        <f>'Note F - Other analysis'!Q18</f>
        <v>3472.402371078140</v>
      </c>
      <c r="R34" s="308">
        <f>'Note F - Other analysis'!R18</f>
        <v>4597.579237629160</v>
      </c>
      <c r="S34" s="308">
        <f>'Note F - Other analysis'!S18</f>
        <v>4775.930822381760</v>
      </c>
      <c r="T34" s="308">
        <f>'Note F - Other analysis'!T18</f>
        <v>4964.7614388294</v>
      </c>
      <c r="U34" s="420">
        <f>'Note F - Other analysis'!U18</f>
        <v>5164.833627605960</v>
      </c>
      <c r="V34" s="264"/>
      <c r="W34" s="8"/>
      <c r="X34" s="8"/>
      <c r="Y34" s="8"/>
      <c r="Z34" s="25"/>
    </row>
    <row r="35" ht="13.75" customHeight="1">
      <c r="A35" s="260"/>
      <c r="B35" t="s" s="359">
        <v>49</v>
      </c>
      <c r="C35" t="s" s="419">
        <v>200</v>
      </c>
      <c r="D35" s="418"/>
      <c r="E35" s="308">
        <f>'Note F - Other analysis'!E19</f>
        <v>0</v>
      </c>
      <c r="F35" s="308">
        <f>'Note F - Other analysis'!F19</f>
        <v>7798.012515845730</v>
      </c>
      <c r="G35" s="308">
        <f>'Note F - Other analysis'!G19</f>
        <v>8217.262515845779</v>
      </c>
      <c r="H35" s="308">
        <f>'Note F - Other analysis'!H19</f>
        <v>8636.512515845759</v>
      </c>
      <c r="I35" s="308">
        <f>'Note F - Other analysis'!I19</f>
        <v>9055.762515845730</v>
      </c>
      <c r="J35" s="308">
        <f>'Note F - Other analysis'!J19</f>
        <v>9475.012515845739</v>
      </c>
      <c r="K35" s="308">
        <f>'Note F - Other analysis'!K19</f>
        <v>10041.8377661626</v>
      </c>
      <c r="L35" s="308">
        <f>'Note F - Other analysis'!L19</f>
        <v>10461.0877661627</v>
      </c>
      <c r="M35" s="308">
        <f>'Note F - Other analysis'!M19</f>
        <v>10880.3377661627</v>
      </c>
      <c r="N35" s="308">
        <f>'Note F - Other analysis'!N19</f>
        <v>11299.5877661626</v>
      </c>
      <c r="O35" s="308">
        <f>'Note F - Other analysis'!O19</f>
        <v>11718.8377661627</v>
      </c>
      <c r="P35" s="308">
        <f>'Note F - Other analysis'!P19</f>
        <v>12138.0877661627</v>
      </c>
      <c r="Q35" s="308">
        <f>'Note F - Other analysis'!Q19</f>
        <v>114542.156522905</v>
      </c>
      <c r="R35" s="308">
        <f>'Note F - Other analysis'!R19</f>
        <v>152494.37425783</v>
      </c>
      <c r="S35" s="308">
        <f>'Note F - Other analysis'!S19</f>
        <v>159166.581742988</v>
      </c>
      <c r="T35" s="308">
        <f>'Note F - Other analysis'!T19</f>
        <v>166262.018977848</v>
      </c>
      <c r="U35" s="420">
        <f>'Note F - Other analysis'!U19</f>
        <v>173812.333405403</v>
      </c>
      <c r="V35" s="264"/>
      <c r="W35" s="8"/>
      <c r="X35" s="8"/>
      <c r="Y35" s="8"/>
      <c r="Z35" s="25"/>
    </row>
    <row r="36" ht="13.75" customHeight="1">
      <c r="A36" s="260"/>
      <c r="B36" t="s" s="359">
        <v>201</v>
      </c>
      <c r="C36" t="s" s="419">
        <v>200</v>
      </c>
      <c r="D36" s="418"/>
      <c r="E36" s="308">
        <f>'Note F - Other analysis'!E32</f>
        <v>0</v>
      </c>
      <c r="F36" s="308">
        <f>'Note F - Other analysis'!F32</f>
        <v>6071.866666666670</v>
      </c>
      <c r="G36" s="308">
        <f>'Note F - Other analysis'!G32</f>
        <v>6071.866666666670</v>
      </c>
      <c r="H36" s="308">
        <f>'Note F - Other analysis'!H32</f>
        <v>6071.866666666670</v>
      </c>
      <c r="I36" s="308">
        <f>'Note F - Other analysis'!I32</f>
        <v>6071.866666666670</v>
      </c>
      <c r="J36" s="308">
        <f>'Note F - Other analysis'!J32</f>
        <v>6071.866666666670</v>
      </c>
      <c r="K36" s="308">
        <f>'Note F - Other analysis'!K32</f>
        <v>6071.866666666670</v>
      </c>
      <c r="L36" s="308">
        <f>'Note F - Other analysis'!L32</f>
        <v>6071.866666666670</v>
      </c>
      <c r="M36" s="308">
        <f>'Note F - Other analysis'!M32</f>
        <v>6071.866666666670</v>
      </c>
      <c r="N36" s="308">
        <f>'Note F - Other analysis'!N32</f>
        <v>6071.866666666670</v>
      </c>
      <c r="O36" s="308">
        <f>'Note F - Other analysis'!O32</f>
        <v>6071.866666666670</v>
      </c>
      <c r="P36" s="308">
        <f>'Note F - Other analysis'!P32</f>
        <v>6071.866666666670</v>
      </c>
      <c r="Q36" s="308">
        <f>'Note F - Other analysis'!Q32</f>
        <v>66790.5333333334</v>
      </c>
      <c r="R36" s="308">
        <f>'Note F - Other analysis'!R32</f>
        <v>77234.144</v>
      </c>
      <c r="S36" s="308">
        <f>'Note F - Other analysis'!S32</f>
        <v>81868.192639999994</v>
      </c>
      <c r="T36" s="308">
        <f>'Note F - Other analysis'!T32</f>
        <v>86780.2841984</v>
      </c>
      <c r="U36" s="420">
        <f>'Note F - Other analysis'!U32</f>
        <v>91987.101250304</v>
      </c>
      <c r="V36" s="264"/>
      <c r="W36" s="8"/>
      <c r="X36" s="8"/>
      <c r="Y36" s="8"/>
      <c r="Z36" s="25"/>
    </row>
    <row r="37" ht="13.75" customHeight="1">
      <c r="A37" s="260"/>
      <c r="B37" t="s" s="359">
        <v>46</v>
      </c>
      <c r="C37" t="s" s="419">
        <v>200</v>
      </c>
      <c r="D37" s="416"/>
      <c r="E37" s="308">
        <f>'Note F - Other analysis'!E17</f>
        <v>0</v>
      </c>
      <c r="F37" s="308">
        <f>'Note F - Other analysis'!F17</f>
        <v>394.3708234368</v>
      </c>
      <c r="G37" s="308">
        <f>'Note F - Other analysis'!G17</f>
        <v>409.3708234368</v>
      </c>
      <c r="H37" s="308">
        <f>'Note F - Other analysis'!H17</f>
        <v>424.3708234368</v>
      </c>
      <c r="I37" s="308">
        <f>'Note F - Other analysis'!I17</f>
        <v>439.3708234368</v>
      </c>
      <c r="J37" s="308">
        <f>'Note F - Other analysis'!J17</f>
        <v>454.3708234368</v>
      </c>
      <c r="K37" s="308">
        <f>'Note F - Other analysis'!K17</f>
        <v>476.958239905536</v>
      </c>
      <c r="L37" s="308">
        <f>'Note F - Other analysis'!L17</f>
        <v>491.958239905536</v>
      </c>
      <c r="M37" s="308">
        <f>'Note F - Other analysis'!M17</f>
        <v>506.958239905536</v>
      </c>
      <c r="N37" s="308">
        <f>'Note F - Other analysis'!N17</f>
        <v>521.9582399055359</v>
      </c>
      <c r="O37" s="308">
        <f>'Note F - Other analysis'!O17</f>
        <v>536.9582399055359</v>
      </c>
      <c r="P37" s="308">
        <f>'Note F - Other analysis'!P17</f>
        <v>551.9582399055359</v>
      </c>
      <c r="Q37" s="308">
        <f>'Note F - Other analysis'!Q17</f>
        <v>5208.603556617220</v>
      </c>
      <c r="R37" s="308">
        <f>'Note F - Other analysis'!R17</f>
        <v>6896.368856443740</v>
      </c>
      <c r="S37" s="308">
        <f>'Note F - Other analysis'!S17</f>
        <v>7163.896233572640</v>
      </c>
      <c r="T37" s="308">
        <f>'Note F - Other analysis'!T17</f>
        <v>7447.1421582441</v>
      </c>
      <c r="U37" s="420">
        <f>'Note F - Other analysis'!U17</f>
        <v>7747.250441408940</v>
      </c>
      <c r="V37" s="264"/>
      <c r="W37" s="8"/>
      <c r="X37" s="8"/>
      <c r="Y37" s="8"/>
      <c r="Z37" s="25"/>
    </row>
    <row r="38" ht="13.5" customHeight="1">
      <c r="A38" s="260"/>
      <c r="B38" t="s" s="386">
        <v>202</v>
      </c>
      <c r="C38" t="s" s="421">
        <v>200</v>
      </c>
      <c r="D38" s="410"/>
      <c r="E38" s="422">
        <f>'Note F - Other analysis'!E25</f>
        <v>0</v>
      </c>
      <c r="F38" s="422">
        <f>'Note F - Other analysis'!F25</f>
        <v>953.0628233056</v>
      </c>
      <c r="G38" s="422">
        <f>'Note F - Other analysis'!G25</f>
        <v>989.3128233056</v>
      </c>
      <c r="H38" s="422">
        <f>'Note F - Other analysis'!H25</f>
        <v>1025.5628233056</v>
      </c>
      <c r="I38" s="422">
        <f>'Note F - Other analysis'!I25</f>
        <v>1061.8128233056</v>
      </c>
      <c r="J38" s="422">
        <f>'Note F - Other analysis'!J25</f>
        <v>1098.0628233056</v>
      </c>
      <c r="K38" s="422">
        <f>'Note F - Other analysis'!K25</f>
        <v>1152.649079771710</v>
      </c>
      <c r="L38" s="422">
        <f>'Note F - Other analysis'!L25</f>
        <v>1188.899079771710</v>
      </c>
      <c r="M38" s="422">
        <f>'Note F - Other analysis'!M25</f>
        <v>1225.149079771710</v>
      </c>
      <c r="N38" s="422">
        <f>'Note F - Other analysis'!N25</f>
        <v>1261.399079771710</v>
      </c>
      <c r="O38" s="422">
        <f>'Note F - Other analysis'!O25</f>
        <v>1297.649079771710</v>
      </c>
      <c r="P38" s="422">
        <f>'Note F - Other analysis'!P25</f>
        <v>1333.899079771710</v>
      </c>
      <c r="Q38" s="412">
        <f>'Note F - Other analysis'!Q25</f>
        <v>12587.4585951583</v>
      </c>
      <c r="R38" s="422">
        <f>'Note F - Other analysis'!R25</f>
        <v>16666.2247364057</v>
      </c>
      <c r="S38" s="422">
        <f>'Note F - Other analysis'!S25</f>
        <v>17312.7492311339</v>
      </c>
      <c r="T38" s="422">
        <f>'Note F - Other analysis'!T25</f>
        <v>17997.2602157566</v>
      </c>
      <c r="U38" s="423">
        <f>'Note F - Other analysis'!U25</f>
        <v>18722.5219000716</v>
      </c>
      <c r="V38" s="264"/>
      <c r="W38" s="8"/>
      <c r="X38" s="8"/>
      <c r="Y38" s="8"/>
      <c r="Z38" s="25"/>
    </row>
    <row r="39" ht="13.5" customHeight="1">
      <c r="A39" s="260"/>
      <c r="B39" t="s" s="424">
        <v>203</v>
      </c>
      <c r="C39" s="425"/>
      <c r="D39" s="425"/>
      <c r="E39" s="426">
        <f>SUM(E32:E38)</f>
        <v>0</v>
      </c>
      <c r="F39" s="426">
        <f>SUM(F32:F38)</f>
        <v>19384.4978635703</v>
      </c>
      <c r="G39" s="426">
        <f>SUM(G32:G38)</f>
        <v>20013.4978635704</v>
      </c>
      <c r="H39" s="426">
        <f>SUM(H32:H38)</f>
        <v>20642.4978635704</v>
      </c>
      <c r="I39" s="426">
        <f>SUM(I32:I38)</f>
        <v>21271.4978635703</v>
      </c>
      <c r="J39" s="426">
        <f>SUM(J32:J38)</f>
        <v>21900.4978635703</v>
      </c>
      <c r="K39" s="426">
        <f>SUM(K32:K38)</f>
        <v>22783.1704875084</v>
      </c>
      <c r="L39" s="426">
        <f>SUM(L32:L38)</f>
        <v>23412.1704875085</v>
      </c>
      <c r="M39" s="426">
        <f>SUM(M32:M38)</f>
        <v>24041.1704875085</v>
      </c>
      <c r="N39" s="426">
        <f>SUM(N32:N38)</f>
        <v>24670.1704875084</v>
      </c>
      <c r="O39" s="426">
        <f>SUM(O32:O38)</f>
        <v>25299.1704875085</v>
      </c>
      <c r="P39" s="426">
        <f>SUM(P32:P38)</f>
        <v>25928.1704875085</v>
      </c>
      <c r="Q39" s="426">
        <f>SUM(Q32:Q38)</f>
        <v>254166.329589603</v>
      </c>
      <c r="R39" s="426">
        <f>SUM(R32:R38)</f>
        <v>326162.742767102</v>
      </c>
      <c r="S39" s="426">
        <f>SUM(S32:S38)</f>
        <v>341209.923382445</v>
      </c>
      <c r="T39" s="426">
        <f>SUM(T32:T38)</f>
        <v>357178.174355695</v>
      </c>
      <c r="U39" s="427">
        <f>SUM(U31:U38)</f>
        <v>374131.819994742</v>
      </c>
      <c r="V39" s="264"/>
      <c r="W39" s="8"/>
      <c r="X39" s="8"/>
      <c r="Y39" s="8"/>
      <c r="Z39" s="25"/>
    </row>
    <row r="40" ht="14.25" customHeight="1">
      <c r="A40" s="260"/>
      <c r="B40" t="s" s="428">
        <v>204</v>
      </c>
      <c r="C40" s="429"/>
      <c r="D40" s="429"/>
      <c r="E40" s="430">
        <f>E24-E39</f>
        <v>0</v>
      </c>
      <c r="F40" s="430">
        <f>F24-F39</f>
        <v>63468.0320415315</v>
      </c>
      <c r="G40" s="430">
        <f>G24-G39</f>
        <v>65386.3460415314</v>
      </c>
      <c r="H40" s="430">
        <f>H24-H39</f>
        <v>67304.6600415314</v>
      </c>
      <c r="I40" s="430">
        <f>I24-I39</f>
        <v>69222.9740415315</v>
      </c>
      <c r="J40" s="430">
        <f>J24-J39</f>
        <v>71141.2880415315</v>
      </c>
      <c r="K40" s="430">
        <f>K24-K39</f>
        <v>74412.0337356955</v>
      </c>
      <c r="L40" s="430">
        <f>L24-L39</f>
        <v>76330.3477356956</v>
      </c>
      <c r="M40" s="430">
        <f>M24-M39</f>
        <v>78248.6617356955</v>
      </c>
      <c r="N40" s="430">
        <f>N24-N39</f>
        <v>80166.9757356956</v>
      </c>
      <c r="O40" s="430">
        <f>O24-O39</f>
        <v>82085.289735695507</v>
      </c>
      <c r="P40" s="430">
        <f>P24-P39</f>
        <v>84003.603735695506</v>
      </c>
      <c r="Q40" s="430">
        <f>Q24-Q39</f>
        <v>806950.395275127</v>
      </c>
      <c r="R40" s="430">
        <f>R24-R39</f>
        <v>1043245.03276491</v>
      </c>
      <c r="S40" s="430">
        <f>S24-S39</f>
        <v>1077594.80062022</v>
      </c>
      <c r="T40" s="430">
        <f>T24-T39</f>
        <v>1113772.14052382</v>
      </c>
      <c r="U40" s="431">
        <f>U24-U39</f>
        <v>1151908.5572909</v>
      </c>
      <c r="V40" s="264"/>
      <c r="W40" s="8"/>
      <c r="X40" s="8"/>
      <c r="Y40" s="8"/>
      <c r="Z40" s="25"/>
    </row>
    <row r="41" ht="12" customHeight="1">
      <c r="A41" s="260"/>
      <c r="B41" t="s" s="432">
        <v>205</v>
      </c>
      <c r="C41" s="433"/>
      <c r="D41" s="433"/>
      <c r="E41" s="434">
        <f>_xlfn.IFERROR(IF((E40/E24)&lt;0,0,(E40/E24)),0)</f>
        <v>0</v>
      </c>
      <c r="F41" s="434">
        <f>_xlfn.IFERROR(IF((F40/F24)&lt;0,0,(F40/F24)),0)</f>
        <v>0.766036138114635</v>
      </c>
      <c r="G41" s="434">
        <f>_xlfn.IFERROR(IF((G40/G24)&lt;0,0,(G40/G24)),0)</f>
        <v>0.765649479572705</v>
      </c>
      <c r="H41" s="434">
        <f>_xlfn.IFERROR(IF((H40/H24)&lt;0,0,(H40/H24)),0)</f>
        <v>0.765285219496866</v>
      </c>
      <c r="I41" s="434">
        <f>_xlfn.IFERROR(IF((I40/I24)&lt;0,0,(I40/I24)),0)</f>
        <v>0.764941466414911</v>
      </c>
      <c r="J41" s="434">
        <f>_xlfn.IFERROR(IF((J40/J24)&lt;0,0,(J40/J24)),0)</f>
        <v>0.76461653599483</v>
      </c>
      <c r="K41" s="434">
        <f>_xlfn.IFERROR(IF((K40/K24)&lt;0,0,(K40/K24)),0)</f>
        <v>0.765593676461773</v>
      </c>
      <c r="L41" s="434">
        <f>_xlfn.IFERROR(IF((L40/L24)&lt;0,0,(L40/L24)),0)</f>
        <v>0.765273918238993</v>
      </c>
      <c r="M41" s="434">
        <f>_xlfn.IFERROR(IF((M40/M24)&lt;0,0,(M40/M24)),0)</f>
        <v>0.764970085833664</v>
      </c>
      <c r="N41" s="434">
        <f>_xlfn.IFERROR(IF((N40/N24)&lt;0,0,(N40/N24)),0)</f>
        <v>0.764681018357899</v>
      </c>
      <c r="O41" s="434">
        <f>_xlfn.IFERROR(IF((O40/O24)&lt;0,0,(O40/O24)),0)</f>
        <v>0.764405665075534</v>
      </c>
      <c r="P41" s="434">
        <f>_xlfn.IFERROR(IF((P40/P24)&lt;0,0,(P40/P24)),0)</f>
        <v>0.764143072640088</v>
      </c>
      <c r="Q41" s="434">
        <f>_xlfn.IFERROR(IF((Q40/Q24)&lt;0,0,(Q40/Q24)),0)</f>
        <v>0.760472789059089</v>
      </c>
      <c r="R41" s="434">
        <f>_xlfn.IFERROR(IF((R40/R24)&lt;0,0,(R40/R24)),0)</f>
        <v>0.761822045562443</v>
      </c>
      <c r="S41" s="434">
        <f>_xlfn.IFERROR(IF((S40/S24)&lt;0,0,(S40/S24)),0)</f>
        <v>0.759508889694252</v>
      </c>
      <c r="T41" s="434">
        <f>_xlfn.IFERROR(IF((T40/T24)&lt;0,0,(T40/T24)),0)</f>
        <v>0.757178627488212</v>
      </c>
      <c r="U41" s="435">
        <f>_xlfn.IFERROR(IF((U40/U24)&lt;0,0,(U40/U24)),0)</f>
        <v>0.754834914224087</v>
      </c>
      <c r="V41" s="264"/>
      <c r="W41" s="8"/>
      <c r="X41" s="8"/>
      <c r="Y41" s="8"/>
      <c r="Z41" s="25"/>
    </row>
    <row r="42" ht="13.5" customHeight="1">
      <c r="A42" s="260"/>
      <c r="B42" s="436"/>
      <c r="C42" s="425"/>
      <c r="D42" s="425"/>
      <c r="E42" s="425"/>
      <c r="F42" s="425"/>
      <c r="G42" s="425"/>
      <c r="H42" s="425"/>
      <c r="I42" s="437"/>
      <c r="J42" s="437"/>
      <c r="K42" s="437"/>
      <c r="L42" s="437"/>
      <c r="M42" s="437"/>
      <c r="N42" s="437"/>
      <c r="O42" s="437"/>
      <c r="P42" s="437"/>
      <c r="Q42" s="350"/>
      <c r="R42" s="350"/>
      <c r="S42" s="350"/>
      <c r="T42" s="350"/>
      <c r="U42" s="351"/>
      <c r="V42" s="264"/>
      <c r="W42" s="8"/>
      <c r="X42" s="8"/>
      <c r="Y42" s="8"/>
      <c r="Z42" s="25"/>
    </row>
    <row r="43" ht="14.25" customHeight="1">
      <c r="A43" s="260"/>
      <c r="B43" t="s" s="438">
        <v>206</v>
      </c>
      <c r="C43" s="439"/>
      <c r="D43" s="439"/>
      <c r="E43" s="439"/>
      <c r="F43" s="439"/>
      <c r="G43" s="439"/>
      <c r="H43" s="439"/>
      <c r="I43" s="440"/>
      <c r="J43" s="440"/>
      <c r="K43" s="440"/>
      <c r="L43" s="440"/>
      <c r="M43" s="440"/>
      <c r="N43" s="440"/>
      <c r="O43" s="440"/>
      <c r="P43" s="440"/>
      <c r="Q43" s="267"/>
      <c r="R43" s="267"/>
      <c r="S43" s="267"/>
      <c r="T43" s="267"/>
      <c r="U43" s="441"/>
      <c r="V43" s="264"/>
      <c r="W43" s="8"/>
      <c r="X43" s="8"/>
      <c r="Y43" s="8"/>
      <c r="Z43" s="25"/>
    </row>
    <row r="44" ht="13.75" customHeight="1">
      <c r="A44" s="260"/>
      <c r="B44" t="s" s="359">
        <v>207</v>
      </c>
      <c r="C44" t="s" s="419">
        <v>208</v>
      </c>
      <c r="D44" s="416"/>
      <c r="E44" s="308">
        <f>'Note D - PPE'!D43</f>
        <v>18002.380952381</v>
      </c>
      <c r="F44" s="308">
        <f>'Note D - PPE'!E43</f>
        <v>18031.9711416328</v>
      </c>
      <c r="G44" s="308">
        <f>'Note D - PPE'!F43</f>
        <v>18032.8808966328</v>
      </c>
      <c r="H44" s="308">
        <f>'Note D - PPE'!G43</f>
        <v>18033.7906516328</v>
      </c>
      <c r="I44" s="308">
        <f>'Note D - PPE'!H43</f>
        <v>18034.7004066328</v>
      </c>
      <c r="J44" s="308">
        <f>'Note D - PPE'!I43</f>
        <v>18035.6101616328</v>
      </c>
      <c r="K44" s="308">
        <f>'Note D - PPE'!J43</f>
        <v>18037.0935253179</v>
      </c>
      <c r="L44" s="308">
        <f>'Note D - PPE'!K43</f>
        <v>18038.0032803179</v>
      </c>
      <c r="M44" s="308">
        <f>'Note D - PPE'!L43</f>
        <v>18038.9130353179</v>
      </c>
      <c r="N44" s="308">
        <f>'Note D - PPE'!M43</f>
        <v>18039.8227903179</v>
      </c>
      <c r="O44" s="308">
        <f>'Note D - PPE'!N43</f>
        <v>18040.7325453179</v>
      </c>
      <c r="P44" s="308">
        <f>'Note D - PPE'!O43</f>
        <v>18041.6423003179</v>
      </c>
      <c r="Q44" s="308">
        <f>'Note D - PPE'!P43</f>
        <v>216407.541687452</v>
      </c>
      <c r="R44" s="308">
        <f>'Note D - PPE'!Q43</f>
        <v>227766.352361703</v>
      </c>
      <c r="S44" s="308">
        <f>'Note D - PPE'!R43</f>
        <v>228189.754777166</v>
      </c>
      <c r="T44" s="308">
        <f>'Note D - PPE'!S43</f>
        <v>228636.716984681</v>
      </c>
      <c r="U44" s="420">
        <f>'Note D - PPE'!T43</f>
        <v>229108.917519591</v>
      </c>
      <c r="V44" s="264"/>
      <c r="W44" s="8"/>
      <c r="X44" s="8"/>
      <c r="Y44" s="8"/>
      <c r="Z44" s="25"/>
    </row>
    <row r="45" ht="13.5" customHeight="1">
      <c r="A45" s="260"/>
      <c r="B45" t="s" s="386">
        <v>209</v>
      </c>
      <c r="C45" t="s" s="421">
        <v>208</v>
      </c>
      <c r="D45" s="442"/>
      <c r="E45" s="443">
        <f>$Q$45/12</f>
        <v>4618.541877182430</v>
      </c>
      <c r="F45" s="443">
        <f>$Q$45/12</f>
        <v>4618.541877182430</v>
      </c>
      <c r="G45" s="443">
        <f>$Q$45/12</f>
        <v>4618.541877182430</v>
      </c>
      <c r="H45" s="443">
        <f>$Q$45/12</f>
        <v>4618.541877182430</v>
      </c>
      <c r="I45" s="443">
        <f>$Q$45/12</f>
        <v>4618.541877182430</v>
      </c>
      <c r="J45" s="443">
        <f>$Q$45/12</f>
        <v>4618.541877182430</v>
      </c>
      <c r="K45" s="443">
        <f>$Q$45/12</f>
        <v>4618.541877182430</v>
      </c>
      <c r="L45" s="443">
        <f>$Q$45/12</f>
        <v>4618.541877182430</v>
      </c>
      <c r="M45" s="443">
        <f>$Q$45/12</f>
        <v>4618.541877182430</v>
      </c>
      <c r="N45" s="443">
        <f>$Q$45/12</f>
        <v>4618.541877182430</v>
      </c>
      <c r="O45" s="443">
        <f>$Q$45/12</f>
        <v>4618.541877182430</v>
      </c>
      <c r="P45" s="443">
        <f>$Q$45/12</f>
        <v>4618.541877182430</v>
      </c>
      <c r="Q45" s="443">
        <f>'Note D - PPE'!P30</f>
        <v>55422.5025261891</v>
      </c>
      <c r="R45" s="443">
        <f>'Note D - PPE'!Q30</f>
        <v>56917.4695241679</v>
      </c>
      <c r="S45" s="443">
        <f>'Note D - PPE'!R30</f>
        <v>58462.1437757703</v>
      </c>
      <c r="T45" s="443">
        <f>'Note D - PPE'!S30</f>
        <v>60059.1040591619</v>
      </c>
      <c r="U45" s="444">
        <f>'Note D - PPE'!T30</f>
        <v>61711.107498719</v>
      </c>
      <c r="V45" s="264"/>
      <c r="W45" s="8"/>
      <c r="X45" s="8"/>
      <c r="Y45" s="8"/>
      <c r="Z45" s="25"/>
    </row>
    <row r="46" ht="13.5" customHeight="1">
      <c r="A46" s="260"/>
      <c r="B46" t="s" s="424">
        <v>210</v>
      </c>
      <c r="C46" s="425"/>
      <c r="D46" s="425"/>
      <c r="E46" s="445">
        <f>SUM(E44:E45)</f>
        <v>22620.9228295634</v>
      </c>
      <c r="F46" s="445">
        <f>SUM(F44:F45)</f>
        <v>22650.5130188152</v>
      </c>
      <c r="G46" s="445">
        <f>SUM(G44:G45)</f>
        <v>22651.4227738152</v>
      </c>
      <c r="H46" s="445">
        <f>SUM(H44:H45)</f>
        <v>22652.3325288152</v>
      </c>
      <c r="I46" s="445">
        <f>SUM(I44:I45)</f>
        <v>22653.2422838152</v>
      </c>
      <c r="J46" s="445">
        <f>SUM(J44:J45)</f>
        <v>22654.1520388152</v>
      </c>
      <c r="K46" s="445">
        <f>SUM(K44:K45)</f>
        <v>22655.6354025003</v>
      </c>
      <c r="L46" s="445">
        <f>SUM(L44:L45)</f>
        <v>22656.5451575003</v>
      </c>
      <c r="M46" s="445">
        <f>SUM(M44:M45)</f>
        <v>22657.4549125003</v>
      </c>
      <c r="N46" s="445">
        <f>SUM(N44:N45)</f>
        <v>22658.3646675003</v>
      </c>
      <c r="O46" s="445">
        <f>SUM(O44:O45)</f>
        <v>22659.2744225003</v>
      </c>
      <c r="P46" s="445">
        <f>SUM(P44:P45)</f>
        <v>22660.1841775003</v>
      </c>
      <c r="Q46" s="445">
        <f>SUM(Q44:Q45)</f>
        <v>271830.044213641</v>
      </c>
      <c r="R46" s="445">
        <f>SUM(R44:R45)</f>
        <v>284683.821885871</v>
      </c>
      <c r="S46" s="445">
        <f>SUM(S44:S45)</f>
        <v>286651.898552936</v>
      </c>
      <c r="T46" s="445">
        <f>SUM(T44:T45)</f>
        <v>288695.821043843</v>
      </c>
      <c r="U46" s="446">
        <f>SUM(U44:U45)</f>
        <v>290820.02501831</v>
      </c>
      <c r="V46" s="264"/>
      <c r="W46" s="8"/>
      <c r="X46" s="8"/>
      <c r="Y46" s="8"/>
      <c r="Z46" s="25"/>
    </row>
    <row r="47" ht="14.25" customHeight="1">
      <c r="A47" s="260"/>
      <c r="B47" t="s" s="428">
        <v>211</v>
      </c>
      <c r="C47" s="429"/>
      <c r="D47" s="429"/>
      <c r="E47" s="447">
        <f>E40-E46</f>
        <v>-22620.9228295634</v>
      </c>
      <c r="F47" s="447">
        <f>F40-F46</f>
        <v>40817.5190227163</v>
      </c>
      <c r="G47" s="447">
        <f>G40-G46</f>
        <v>42734.9232677162</v>
      </c>
      <c r="H47" s="447">
        <f>H40-H46</f>
        <v>44652.3275127162</v>
      </c>
      <c r="I47" s="447">
        <f>I40-I46</f>
        <v>46569.7317577163</v>
      </c>
      <c r="J47" s="447">
        <f>J40-J46</f>
        <v>48487.1360027163</v>
      </c>
      <c r="K47" s="447">
        <f>K40-K46</f>
        <v>51756.3983331952</v>
      </c>
      <c r="L47" s="447">
        <f>L40-L46</f>
        <v>53673.8025781953</v>
      </c>
      <c r="M47" s="447">
        <f>M40-M46</f>
        <v>55591.2068231952</v>
      </c>
      <c r="N47" s="447">
        <f>N40-N46</f>
        <v>57508.6110681953</v>
      </c>
      <c r="O47" s="447">
        <f>O40-O46</f>
        <v>59426.0153131952</v>
      </c>
      <c r="P47" s="447">
        <f>P40-P46</f>
        <v>61343.4195581952</v>
      </c>
      <c r="Q47" s="447">
        <f>Q40-Q46</f>
        <v>535120.3510614861</v>
      </c>
      <c r="R47" s="447">
        <f>R40-R46</f>
        <v>758561.210879039</v>
      </c>
      <c r="S47" s="447">
        <f>S40-S46</f>
        <v>790942.902067284</v>
      </c>
      <c r="T47" s="447">
        <f>T40-T46</f>
        <v>825076.319479977</v>
      </c>
      <c r="U47" s="448">
        <f>U40-U46</f>
        <v>861088.53227259</v>
      </c>
      <c r="V47" s="264"/>
      <c r="W47" s="8"/>
      <c r="X47" s="8"/>
      <c r="Y47" s="8"/>
      <c r="Z47" s="25"/>
    </row>
    <row r="48" ht="12" customHeight="1">
      <c r="A48" s="449"/>
      <c r="B48" t="s" s="450">
        <v>212</v>
      </c>
      <c r="C48" s="451"/>
      <c r="D48" s="451"/>
      <c r="E48" s="452">
        <f>_xlfn.IFERROR(E47/E24,0)</f>
        <v>0</v>
      </c>
      <c r="F48" s="452">
        <f>_xlfn.IFERROR(F47/F24,0)</f>
        <v>0.492652657311348</v>
      </c>
      <c r="G48" s="452">
        <f>_xlfn.IFERROR(G47/G24,0)</f>
        <v>0.500409852214767</v>
      </c>
      <c r="H48" s="452">
        <f>_xlfn.IFERROR(H47/H24,0)</f>
        <v>0.507717686123498</v>
      </c>
      <c r="I48" s="452">
        <f>_xlfn.IFERROR(I47/I24,0)</f>
        <v>0.514614106003649</v>
      </c>
      <c r="J48" s="452">
        <f>_xlfn.IFERROR(J47/J24,0)</f>
        <v>0.521132903147096</v>
      </c>
      <c r="K48" s="452">
        <f>_xlfn.IFERROR(K47/K24,0)</f>
        <v>0.532499507016202</v>
      </c>
      <c r="L48" s="452">
        <f>_xlfn.IFERROR(L47/L24,0)</f>
        <v>0.538123595978236</v>
      </c>
      <c r="M48" s="452">
        <f>_xlfn.IFERROR(M47/M24,0)</f>
        <v>0.543467572631179</v>
      </c>
      <c r="N48" s="452">
        <f>_xlfn.IFERROR(N47/N24,0)</f>
        <v>0.548551855329564</v>
      </c>
      <c r="O48" s="452">
        <f>_xlfn.IFERROR(O47/O24,0)</f>
        <v>0.5533949250168529</v>
      </c>
      <c r="P48" s="452">
        <f>_xlfn.IFERROR(P47/P24,0)</f>
        <v>0.558013549691687</v>
      </c>
      <c r="Q48" s="452">
        <f>_xlfn.IFERROR(Q47/Q24,0)</f>
        <v>0.504299233554822</v>
      </c>
      <c r="R48" s="452">
        <f>_xlfn.IFERROR(R47/R24,0)</f>
        <v>0.553933769351018</v>
      </c>
      <c r="S48" s="452">
        <f>_xlfn.IFERROR(S47/S24,0)</f>
        <v>0.557471291634775</v>
      </c>
      <c r="T48" s="452">
        <f>_xlfn.IFERROR(T47/T24,0)</f>
        <v>0.560913792351689</v>
      </c>
      <c r="U48" s="453">
        <f>_xlfn.IFERROR(U47/U24,0)</f>
        <v>0.564263269235512</v>
      </c>
      <c r="V48" s="454"/>
      <c r="W48" s="209"/>
      <c r="X48" s="209"/>
      <c r="Y48" s="209"/>
      <c r="Z48" s="210"/>
    </row>
  </sheetData>
  <mergeCells count="2">
    <mergeCell ref="C6:D6"/>
    <mergeCell ref="C29:D29"/>
  </mergeCells>
  <pageMargins left="0" right="0.2" top="0.75" bottom="0.75" header="0.3" footer="0.3"/>
  <pageSetup firstPageNumber="1" fitToHeight="1" fitToWidth="1" scale="102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Y50"/>
  <sheetViews>
    <sheetView workbookViewId="0" showGridLines="0" defaultGridColor="1"/>
  </sheetViews>
  <sheetFormatPr defaultColWidth="9.25" defaultRowHeight="13.15" customHeight="1" outlineLevelRow="0" outlineLevelCol="0"/>
  <cols>
    <col min="1" max="1" width="2.75" style="455" customWidth="1"/>
    <col min="2" max="2" width="26.75" style="455" customWidth="1"/>
    <col min="3" max="3" width="16.25" style="455" customWidth="1"/>
    <col min="4" max="4" width="12.75" style="455" customWidth="1"/>
    <col min="5" max="15" width="10.75" style="455" customWidth="1"/>
    <col min="16" max="18" width="12.5" style="455" customWidth="1"/>
    <col min="19" max="20" width="12.75" style="455" customWidth="1"/>
    <col min="21" max="25" width="9.5" style="455" customWidth="1"/>
    <col min="26" max="16384" width="9.25" style="455" customWidth="1"/>
  </cols>
  <sheetData>
    <row r="1" ht="13.75" customHeight="1">
      <c r="A1" s="19"/>
      <c r="B1" s="212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"/>
      <c r="W1" s="21"/>
      <c r="X1" s="21"/>
      <c r="Y1" s="22"/>
    </row>
    <row r="2" ht="13.75" customHeight="1">
      <c r="A2" s="23"/>
      <c r="B2" t="s" s="272">
        <v>213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8"/>
      <c r="W2" s="8"/>
      <c r="X2" s="8"/>
      <c r="Y2" s="25"/>
    </row>
    <row r="3" ht="13" customHeight="1">
      <c r="A3" s="23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25"/>
    </row>
    <row r="4" ht="13.5" customHeight="1">
      <c r="A4" s="23"/>
      <c r="B4" s="410"/>
      <c r="C4" s="411"/>
      <c r="D4" s="412"/>
      <c r="E4" s="412"/>
      <c r="F4" s="412"/>
      <c r="G4" s="412"/>
      <c r="H4" s="410"/>
      <c r="I4" s="410"/>
      <c r="J4" s="410"/>
      <c r="K4" s="410"/>
      <c r="L4" s="410"/>
      <c r="M4" s="410"/>
      <c r="N4" s="410"/>
      <c r="O4" s="410"/>
      <c r="P4" s="217"/>
      <c r="Q4" s="217"/>
      <c r="R4" s="217"/>
      <c r="S4" s="217"/>
      <c r="T4" s="217"/>
      <c r="U4" s="8"/>
      <c r="V4" s="8"/>
      <c r="W4" s="8"/>
      <c r="X4" s="8"/>
      <c r="Y4" s="25"/>
    </row>
    <row r="5" ht="13.5" customHeight="1">
      <c r="A5" s="260"/>
      <c r="B5" t="s" s="346">
        <v>214</v>
      </c>
      <c r="C5" s="456"/>
      <c r="D5" t="s" s="220">
        <v>29</v>
      </c>
      <c r="E5" s="349"/>
      <c r="F5" s="350"/>
      <c r="G5" s="350"/>
      <c r="H5" s="350"/>
      <c r="I5" s="350"/>
      <c r="J5" s="350"/>
      <c r="K5" s="350"/>
      <c r="L5" s="350"/>
      <c r="M5" s="350"/>
      <c r="N5" s="350"/>
      <c r="O5" s="350"/>
      <c r="P5" s="350"/>
      <c r="Q5" s="350"/>
      <c r="R5" s="350"/>
      <c r="S5" s="350"/>
      <c r="T5" s="351"/>
      <c r="U5" s="264"/>
      <c r="V5" s="8"/>
      <c r="W5" s="8"/>
      <c r="X5" s="8"/>
      <c r="Y5" s="25"/>
    </row>
    <row r="6" ht="13.5" customHeight="1">
      <c r="A6" s="260"/>
      <c r="B6" s="457"/>
      <c r="C6" t="s" s="224">
        <v>113</v>
      </c>
      <c r="D6" t="s" s="225">
        <v>31</v>
      </c>
      <c r="E6" s="226">
        <v>43313</v>
      </c>
      <c r="F6" s="226">
        <v>43344</v>
      </c>
      <c r="G6" s="226">
        <v>43374</v>
      </c>
      <c r="H6" s="226">
        <v>43405</v>
      </c>
      <c r="I6" s="226">
        <v>43435</v>
      </c>
      <c r="J6" s="226">
        <v>43466</v>
      </c>
      <c r="K6" s="226">
        <v>43497</v>
      </c>
      <c r="L6" s="226">
        <v>43525</v>
      </c>
      <c r="M6" s="226">
        <v>43556</v>
      </c>
      <c r="N6" s="226">
        <v>43586</v>
      </c>
      <c r="O6" s="226">
        <v>43617</v>
      </c>
      <c r="P6" t="s" s="227">
        <v>114</v>
      </c>
      <c r="Q6" s="274">
        <v>43983</v>
      </c>
      <c r="R6" s="274">
        <v>44348</v>
      </c>
      <c r="S6" s="274">
        <v>44713</v>
      </c>
      <c r="T6" s="275">
        <v>45078</v>
      </c>
      <c r="U6" s="264"/>
      <c r="V6" s="8"/>
      <c r="W6" s="8"/>
      <c r="X6" s="8"/>
      <c r="Y6" s="25"/>
    </row>
    <row r="7" ht="14.25" customHeight="1">
      <c r="A7" s="260"/>
      <c r="B7" s="355"/>
      <c r="C7" s="413"/>
      <c r="D7" t="s" s="231">
        <v>115</v>
      </c>
      <c r="E7" t="s" s="231">
        <v>115</v>
      </c>
      <c r="F7" t="s" s="231">
        <v>115</v>
      </c>
      <c r="G7" t="s" s="231">
        <v>115</v>
      </c>
      <c r="H7" t="s" s="231">
        <v>115</v>
      </c>
      <c r="I7" t="s" s="231">
        <v>115</v>
      </c>
      <c r="J7" t="s" s="231">
        <v>115</v>
      </c>
      <c r="K7" t="s" s="231">
        <v>115</v>
      </c>
      <c r="L7" t="s" s="231">
        <v>115</v>
      </c>
      <c r="M7" t="s" s="231">
        <v>115</v>
      </c>
      <c r="N7" t="s" s="231">
        <v>115</v>
      </c>
      <c r="O7" t="s" s="231">
        <v>115</v>
      </c>
      <c r="P7" t="s" s="231">
        <v>115</v>
      </c>
      <c r="Q7" t="s" s="231">
        <v>115</v>
      </c>
      <c r="R7" t="s" s="231">
        <v>115</v>
      </c>
      <c r="S7" t="s" s="231">
        <v>115</v>
      </c>
      <c r="T7" t="s" s="357">
        <v>115</v>
      </c>
      <c r="U7" s="264"/>
      <c r="V7" s="8"/>
      <c r="W7" s="8"/>
      <c r="X7" s="8"/>
      <c r="Y7" s="25"/>
    </row>
    <row r="8" ht="13.75" customHeight="1">
      <c r="A8" s="260"/>
      <c r="B8" t="s" s="414">
        <v>215</v>
      </c>
      <c r="C8" s="416"/>
      <c r="D8" s="458"/>
      <c r="E8" s="458"/>
      <c r="F8" s="458"/>
      <c r="G8" s="458"/>
      <c r="H8" s="409"/>
      <c r="I8" s="409"/>
      <c r="J8" s="409"/>
      <c r="K8" s="409"/>
      <c r="L8" s="409"/>
      <c r="M8" s="409"/>
      <c r="N8" s="409"/>
      <c r="O8" s="409"/>
      <c r="P8" s="265"/>
      <c r="Q8" s="265"/>
      <c r="R8" s="265"/>
      <c r="S8" s="265"/>
      <c r="T8" s="459"/>
      <c r="U8" s="264"/>
      <c r="V8" s="8"/>
      <c r="W8" s="8"/>
      <c r="X8" s="8"/>
      <c r="Y8" s="25"/>
    </row>
    <row r="9" ht="13.75" customHeight="1">
      <c r="A9" s="260"/>
      <c r="B9" t="s" s="392">
        <v>216</v>
      </c>
      <c r="C9" t="s" s="419">
        <v>217</v>
      </c>
      <c r="D9" s="278">
        <f>(D31*'Key Assumptions &amp; Drivers'!$D$72)+(D34*'Key Assumptions &amp; Drivers'!$D$73)+(D37*'Key Assumptions &amp; Drivers'!$D$74)+(D40*'Key Assumptions &amp; Drivers'!$D$75)</f>
        <v>0</v>
      </c>
      <c r="E9" s="278">
        <f>(E31*'Key Assumptions &amp; Drivers'!$D$72)+(E34*'Key Assumptions &amp; Drivers'!$D$73)+(E37*'Key Assumptions &amp; Drivers'!$D$74)+(E40*'Key Assumptions &amp; Drivers'!$D$75)</f>
        <v>8146.666666666660</v>
      </c>
      <c r="F9" s="278">
        <f>(F31*'Key Assumptions &amp; Drivers'!$D$72)+(F34*'Key Assumptions &amp; Drivers'!$D$73)+(F37*'Key Assumptions &amp; Drivers'!$D$74)+(F40*'Key Assumptions &amp; Drivers'!$D$75)</f>
        <v>8146.666666666660</v>
      </c>
      <c r="G9" s="278">
        <f>(G31*'Key Assumptions &amp; Drivers'!$D$72)+(G34*'Key Assumptions &amp; Drivers'!$D$73)+(G37*'Key Assumptions &amp; Drivers'!$D$74)+(G40*'Key Assumptions &amp; Drivers'!$D$75)</f>
        <v>8146.666666666660</v>
      </c>
      <c r="H9" s="278">
        <f>(H31*'Key Assumptions &amp; Drivers'!$D$72)+(H34*'Key Assumptions &amp; Drivers'!$D$73)+(H37*'Key Assumptions &amp; Drivers'!$D$74)+(H40*'Key Assumptions &amp; Drivers'!$D$75)</f>
        <v>8146.666666666660</v>
      </c>
      <c r="I9" s="278">
        <f>(I31*'Key Assumptions &amp; Drivers'!$D$72)+(I34*'Key Assumptions &amp; Drivers'!$D$73)+(I37*'Key Assumptions &amp; Drivers'!$D$74)+(I40*'Key Assumptions &amp; Drivers'!$D$75)</f>
        <v>8146.666666666660</v>
      </c>
      <c r="J9" s="278">
        <f>(J31*'Key Assumptions &amp; Drivers'!$D$72)+(J34*'Key Assumptions &amp; Drivers'!$D$73)+(J37*'Key Assumptions &amp; Drivers'!$D$74)+(J40*'Key Assumptions &amp; Drivers'!$D$75)</f>
        <v>8146.666666666660</v>
      </c>
      <c r="K9" s="278">
        <f>(K31*'Key Assumptions &amp; Drivers'!$D$72)+(K34*'Key Assumptions &amp; Drivers'!$D$73)+(K37*'Key Assumptions &amp; Drivers'!$D$74)+(K40*'Key Assumptions &amp; Drivers'!$D$75)</f>
        <v>8146.666666666660</v>
      </c>
      <c r="L9" s="278">
        <f>(L31*'Key Assumptions &amp; Drivers'!$D$72)+(L34*'Key Assumptions &amp; Drivers'!$D$73)+(L37*'Key Assumptions &amp; Drivers'!$D$74)+(L40*'Key Assumptions &amp; Drivers'!$D$75)</f>
        <v>8146.666666666660</v>
      </c>
      <c r="M9" s="278">
        <f>(M31*'Key Assumptions &amp; Drivers'!$D$72)+(M34*'Key Assumptions &amp; Drivers'!$D$73)+(M37*'Key Assumptions &amp; Drivers'!$D$74)+(M40*'Key Assumptions &amp; Drivers'!$D$75)</f>
        <v>8146.666666666660</v>
      </c>
      <c r="N9" s="278">
        <f>(N31*'Key Assumptions &amp; Drivers'!$D$72)+(N34*'Key Assumptions &amp; Drivers'!$D$73)+(N37*'Key Assumptions &amp; Drivers'!$D$74)+(N40*'Key Assumptions &amp; Drivers'!$D$75)</f>
        <v>8146.666666666660</v>
      </c>
      <c r="O9" s="278">
        <f>(O31*'Key Assumptions &amp; Drivers'!$D$72)+(O34*'Key Assumptions &amp; Drivers'!$D$73)+(O37*'Key Assumptions &amp; Drivers'!$D$74)+(O40*'Key Assumptions &amp; Drivers'!$D$75)</f>
        <v>8146.666666666660</v>
      </c>
      <c r="P9" s="278">
        <f>SUM(D9:O9)</f>
        <v>89613.3333333333</v>
      </c>
      <c r="Q9" s="278">
        <f>(Q31*'Key Assumptions &amp; Drivers'!$D$72)+(Q34*'Key Assumptions &amp; Drivers'!$D$73)+(Q37*'Key Assumptions &amp; Drivers'!$D$74)+(Q40*'Key Assumptions &amp; Drivers'!$D$75)</f>
        <v>106288</v>
      </c>
      <c r="R9" s="278">
        <f>(R31*'Key Assumptions &amp; Drivers'!$D$72)+(R34*'Key Assumptions &amp; Drivers'!$D$73)+(R37*'Key Assumptions &amp; Drivers'!$D$74)+(R40*'Key Assumptions &amp; Drivers'!$D$75)</f>
        <v>115593.92</v>
      </c>
      <c r="S9" s="278">
        <f>(S31*'Key Assumptions &amp; Drivers'!$D$72)+(S34*'Key Assumptions &amp; Drivers'!$D$73)+(S37*'Key Assumptions &amp; Drivers'!$D$74)+(S40*'Key Assumptions &amp; Drivers'!$D$75)</f>
        <v>125751.0592</v>
      </c>
      <c r="T9" s="417">
        <f>(T31*'Key Assumptions &amp; Drivers'!$D$72)+(T34*'Key Assumptions &amp; Drivers'!$D$73)+(T37*'Key Assumptions &amp; Drivers'!$D$74)+(T40*'Key Assumptions &amp; Drivers'!$D$75)</f>
        <v>136839.777152</v>
      </c>
      <c r="U9" s="264"/>
      <c r="V9" s="8"/>
      <c r="W9" s="8"/>
      <c r="X9" s="8"/>
      <c r="Y9" s="25"/>
    </row>
    <row r="10" ht="13.75" customHeight="1">
      <c r="A10" s="260"/>
      <c r="B10" t="s" s="392">
        <v>218</v>
      </c>
      <c r="C10" s="460">
        <f>'Key Assumptions &amp; Drivers'!$E$76</f>
        <v>0.097</v>
      </c>
      <c r="D10" s="278">
        <f>D9*$C10</f>
        <v>0</v>
      </c>
      <c r="E10" s="278">
        <f>E9*$C10</f>
        <v>790.226666666666</v>
      </c>
      <c r="F10" s="278">
        <f>F9*$C10</f>
        <v>790.226666666666</v>
      </c>
      <c r="G10" s="278">
        <f>G9*$C10</f>
        <v>790.226666666666</v>
      </c>
      <c r="H10" s="278">
        <f>H9*$C10</f>
        <v>790.226666666666</v>
      </c>
      <c r="I10" s="278">
        <f>I9*$C10</f>
        <v>790.226666666666</v>
      </c>
      <c r="J10" s="278">
        <f>J9*$C10</f>
        <v>790.226666666666</v>
      </c>
      <c r="K10" s="278">
        <f>K9*$C10</f>
        <v>790.226666666666</v>
      </c>
      <c r="L10" s="278">
        <f>L9*$C10</f>
        <v>790.226666666666</v>
      </c>
      <c r="M10" s="278">
        <f>M9*$C10</f>
        <v>790.226666666666</v>
      </c>
      <c r="N10" s="278">
        <f>N9*$C10</f>
        <v>790.226666666666</v>
      </c>
      <c r="O10" s="278">
        <f>O9*$C10</f>
        <v>790.226666666666</v>
      </c>
      <c r="P10" s="278">
        <f>SUM(D10:O10)</f>
        <v>8692.493333333330</v>
      </c>
      <c r="Q10" s="278">
        <f>Q9*$C10</f>
        <v>10309.936</v>
      </c>
      <c r="R10" s="278">
        <f>R9*$C10</f>
        <v>11212.61024</v>
      </c>
      <c r="S10" s="278">
        <f>S9*$C10</f>
        <v>12197.8527424</v>
      </c>
      <c r="T10" s="417">
        <f>T9*$C10</f>
        <v>13273.458383744</v>
      </c>
      <c r="U10" s="264"/>
      <c r="V10" s="8"/>
      <c r="W10" s="8"/>
      <c r="X10" s="8"/>
      <c r="Y10" s="25"/>
    </row>
    <row r="11" ht="13.75" customHeight="1">
      <c r="A11" s="260"/>
      <c r="B11" t="s" s="392">
        <v>219</v>
      </c>
      <c r="C11" s="460">
        <f>'Key Assumptions &amp; Drivers'!$E$77</f>
        <v>0.033</v>
      </c>
      <c r="D11" s="278">
        <f>D9*$C11</f>
        <v>0</v>
      </c>
      <c r="E11" s="278">
        <f>E9*$C11</f>
        <v>268.84</v>
      </c>
      <c r="F11" s="278">
        <f>F9*$C11</f>
        <v>268.84</v>
      </c>
      <c r="G11" s="278">
        <f>G9*$C11</f>
        <v>268.84</v>
      </c>
      <c r="H11" s="278">
        <f>H9*$C11</f>
        <v>268.84</v>
      </c>
      <c r="I11" s="278">
        <f>I9*$C11</f>
        <v>268.84</v>
      </c>
      <c r="J11" s="278">
        <f>J9*$C11</f>
        <v>268.84</v>
      </c>
      <c r="K11" s="278">
        <f>K9*$C11</f>
        <v>268.84</v>
      </c>
      <c r="L11" s="278">
        <f>L9*$C11</f>
        <v>268.84</v>
      </c>
      <c r="M11" s="278">
        <f>M9*$C11</f>
        <v>268.84</v>
      </c>
      <c r="N11" s="278">
        <f>N9*$C11</f>
        <v>268.84</v>
      </c>
      <c r="O11" s="278">
        <f>O9*$C11</f>
        <v>268.84</v>
      </c>
      <c r="P11" s="278">
        <f>SUM(D11:O11)</f>
        <v>2957.24</v>
      </c>
      <c r="Q11" s="278">
        <f>Q9*$C11</f>
        <v>3507.504</v>
      </c>
      <c r="R11" s="278">
        <f>R9*$C11</f>
        <v>3814.59936</v>
      </c>
      <c r="S11" s="278">
        <f>S9*$C11</f>
        <v>4149.7849536</v>
      </c>
      <c r="T11" s="417">
        <f>T9*$C11</f>
        <v>4515.712646016</v>
      </c>
      <c r="U11" s="264"/>
      <c r="V11" s="8"/>
      <c r="W11" s="8"/>
      <c r="X11" s="8"/>
      <c r="Y11" s="25"/>
    </row>
    <row r="12" ht="13.5" customHeight="1">
      <c r="A12" s="260"/>
      <c r="B12" s="400"/>
      <c r="C12" s="461"/>
      <c r="D12" s="462"/>
      <c r="E12" s="462"/>
      <c r="F12" s="462"/>
      <c r="G12" s="462"/>
      <c r="H12" s="462"/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3"/>
      <c r="U12" s="264"/>
      <c r="V12" s="8"/>
      <c r="W12" s="8"/>
      <c r="X12" s="8"/>
      <c r="Y12" s="25"/>
    </row>
    <row r="13" ht="13.5" customHeight="1">
      <c r="A13" s="260"/>
      <c r="B13" t="s" s="464">
        <v>220</v>
      </c>
      <c r="C13" s="465"/>
      <c r="D13" s="466">
        <f>SUM(D9:D12)</f>
        <v>0</v>
      </c>
      <c r="E13" s="466">
        <f>SUM(E9:E12)</f>
        <v>9205.733333333330</v>
      </c>
      <c r="F13" s="466">
        <f>SUM(F9:F12)</f>
        <v>9205.733333333330</v>
      </c>
      <c r="G13" s="466">
        <f>SUM(G9:G12)</f>
        <v>9205.733333333330</v>
      </c>
      <c r="H13" s="466">
        <f>SUM(H9:H12)</f>
        <v>9205.733333333330</v>
      </c>
      <c r="I13" s="466">
        <f>SUM(I9:I12)</f>
        <v>9205.733333333330</v>
      </c>
      <c r="J13" s="466">
        <f>SUM(J9:J12)</f>
        <v>9205.733333333330</v>
      </c>
      <c r="K13" s="466">
        <f>SUM(K9:K12)</f>
        <v>9205.733333333330</v>
      </c>
      <c r="L13" s="466">
        <f>SUM(L9:L12)</f>
        <v>9205.733333333330</v>
      </c>
      <c r="M13" s="466">
        <f>SUM(M9:M12)</f>
        <v>9205.733333333330</v>
      </c>
      <c r="N13" s="466">
        <f>SUM(N9:N12)</f>
        <v>9205.733333333330</v>
      </c>
      <c r="O13" s="466">
        <f>SUM(O9:O12)</f>
        <v>9205.733333333330</v>
      </c>
      <c r="P13" s="466">
        <f>SUM(P9:P12)</f>
        <v>101263.066666667</v>
      </c>
      <c r="Q13" s="466">
        <f>SUM(Q9:Q12)</f>
        <v>120105.44</v>
      </c>
      <c r="R13" s="466">
        <f>SUM(R9:R12)</f>
        <v>130621.1296</v>
      </c>
      <c r="S13" s="466">
        <f>SUM(S9:S12)</f>
        <v>142098.696896</v>
      </c>
      <c r="T13" s="467">
        <f>SUM(T9:T12)</f>
        <v>154628.94818176</v>
      </c>
      <c r="U13" s="264"/>
      <c r="V13" s="8"/>
      <c r="W13" s="8"/>
      <c r="X13" s="8"/>
      <c r="Y13" s="25"/>
    </row>
    <row r="14" ht="13.5" customHeight="1">
      <c r="A14" s="260"/>
      <c r="B14" s="468"/>
      <c r="C14" s="425"/>
      <c r="D14" s="445"/>
      <c r="E14" s="445"/>
      <c r="F14" s="445"/>
      <c r="G14" s="445"/>
      <c r="H14" s="445"/>
      <c r="I14" s="445"/>
      <c r="J14" s="445"/>
      <c r="K14" s="445"/>
      <c r="L14" s="445"/>
      <c r="M14" s="445"/>
      <c r="N14" s="445"/>
      <c r="O14" s="445"/>
      <c r="P14" s="445"/>
      <c r="Q14" s="445"/>
      <c r="R14" s="445"/>
      <c r="S14" s="445"/>
      <c r="T14" s="446"/>
      <c r="U14" s="264"/>
      <c r="V14" s="8"/>
      <c r="W14" s="8"/>
      <c r="X14" s="8"/>
      <c r="Y14" s="25"/>
    </row>
    <row r="15" ht="13.5" customHeight="1">
      <c r="A15" s="260"/>
      <c r="B15" t="s" s="464">
        <v>221</v>
      </c>
      <c r="C15" s="469"/>
      <c r="D15" s="466">
        <f>D13</f>
        <v>0</v>
      </c>
      <c r="E15" s="466">
        <f>E13</f>
        <v>9205.733333333330</v>
      </c>
      <c r="F15" s="466">
        <f>F13</f>
        <v>9205.733333333330</v>
      </c>
      <c r="G15" s="466">
        <f>G13</f>
        <v>9205.733333333330</v>
      </c>
      <c r="H15" s="466">
        <f>H13</f>
        <v>9205.733333333330</v>
      </c>
      <c r="I15" s="466">
        <f>I13</f>
        <v>9205.733333333330</v>
      </c>
      <c r="J15" s="466">
        <f>J13</f>
        <v>9205.733333333330</v>
      </c>
      <c r="K15" s="466">
        <f>K13</f>
        <v>9205.733333333330</v>
      </c>
      <c r="L15" s="466">
        <f>L13</f>
        <v>9205.733333333330</v>
      </c>
      <c r="M15" s="466">
        <f>M13</f>
        <v>9205.733333333330</v>
      </c>
      <c r="N15" s="466">
        <f>N13</f>
        <v>9205.733333333330</v>
      </c>
      <c r="O15" s="466">
        <f>O13</f>
        <v>9205.733333333330</v>
      </c>
      <c r="P15" s="466">
        <f>P13</f>
        <v>101263.066666667</v>
      </c>
      <c r="Q15" s="466">
        <f>Q13</f>
        <v>120105.44</v>
      </c>
      <c r="R15" s="466">
        <f>R13</f>
        <v>130621.1296</v>
      </c>
      <c r="S15" s="466">
        <f>S13</f>
        <v>142098.696896</v>
      </c>
      <c r="T15" s="467">
        <f>T13</f>
        <v>154628.94818176</v>
      </c>
      <c r="U15" s="264"/>
      <c r="V15" s="8"/>
      <c r="W15" s="8"/>
      <c r="X15" s="8"/>
      <c r="Y15" s="25"/>
    </row>
    <row r="16" ht="14.25" customHeight="1">
      <c r="A16" s="260"/>
      <c r="B16" s="470"/>
      <c r="C16" t="s" s="471">
        <v>222</v>
      </c>
      <c r="D16" s="472"/>
      <c r="E16" s="472"/>
      <c r="F16" s="472"/>
      <c r="G16" s="472"/>
      <c r="H16" s="472"/>
      <c r="I16" s="472"/>
      <c r="J16" s="472"/>
      <c r="K16" s="472"/>
      <c r="L16" s="472"/>
      <c r="M16" s="472"/>
      <c r="N16" s="472"/>
      <c r="O16" s="472"/>
      <c r="P16" s="472"/>
      <c r="Q16" s="472"/>
      <c r="R16" s="472"/>
      <c r="S16" s="472"/>
      <c r="T16" s="473"/>
      <c r="U16" s="264"/>
      <c r="V16" s="8"/>
      <c r="W16" s="8"/>
      <c r="X16" s="8"/>
      <c r="Y16" s="25"/>
    </row>
    <row r="17" ht="13.75" customHeight="1">
      <c r="A17" s="260"/>
      <c r="B17" t="s" s="414">
        <v>223</v>
      </c>
      <c r="C17" s="416"/>
      <c r="D17" s="416"/>
      <c r="E17" s="416"/>
      <c r="F17" s="416"/>
      <c r="G17" s="416"/>
      <c r="H17" s="6"/>
      <c r="I17" s="6"/>
      <c r="J17" s="6"/>
      <c r="K17" s="6"/>
      <c r="L17" s="6"/>
      <c r="M17" s="6"/>
      <c r="N17" s="6"/>
      <c r="O17" s="6"/>
      <c r="P17" s="8"/>
      <c r="Q17" s="8"/>
      <c r="R17" s="8"/>
      <c r="S17" s="8"/>
      <c r="T17" s="326"/>
      <c r="U17" s="264"/>
      <c r="V17" s="8"/>
      <c r="W17" s="8"/>
      <c r="X17" s="8"/>
      <c r="Y17" s="25"/>
    </row>
    <row r="18" ht="13.75" customHeight="1">
      <c r="A18" s="260"/>
      <c r="B18" t="s" s="359">
        <v>224</v>
      </c>
      <c r="C18" s="416"/>
      <c r="D18" s="474">
        <f>'Key Assumptions &amp; Drivers'!$D$63/2</f>
        <v>25000</v>
      </c>
      <c r="E18" s="474">
        <f>'Key Assumptions &amp; Drivers'!$D$63/2</f>
        <v>25000</v>
      </c>
      <c r="F18" s="474">
        <f>'Key Assumptions &amp; Drivers'!$D$64</f>
        <v>2500</v>
      </c>
      <c r="G18" s="474">
        <f>'Key Assumptions &amp; Drivers'!$D$64</f>
        <v>2500</v>
      </c>
      <c r="H18" s="474">
        <f>'Key Assumptions &amp; Drivers'!$D$64</f>
        <v>2500</v>
      </c>
      <c r="I18" s="474">
        <f>'Key Assumptions &amp; Drivers'!$D$64</f>
        <v>2500</v>
      </c>
      <c r="J18" s="474">
        <f>'Key Assumptions &amp; Drivers'!$D$64</f>
        <v>2500</v>
      </c>
      <c r="K18" s="474">
        <f>'Key Assumptions &amp; Drivers'!$D$64</f>
        <v>2500</v>
      </c>
      <c r="L18" s="474">
        <f>'Key Assumptions &amp; Drivers'!$D$64</f>
        <v>2500</v>
      </c>
      <c r="M18" s="474">
        <f>'Key Assumptions &amp; Drivers'!$D$64</f>
        <v>2500</v>
      </c>
      <c r="N18" s="474">
        <f>'Key Assumptions &amp; Drivers'!$D$64</f>
        <v>2500</v>
      </c>
      <c r="O18" s="474">
        <f>'Key Assumptions &amp; Drivers'!$D$64</f>
        <v>2500</v>
      </c>
      <c r="P18" s="474">
        <f>SUM(D18:O18)</f>
        <v>75000</v>
      </c>
      <c r="Q18" s="474">
        <f>'Key Assumptions &amp; Drivers'!$D$64*12</f>
        <v>30000</v>
      </c>
      <c r="R18" s="474">
        <f>'Key Assumptions &amp; Drivers'!$D$64*12</f>
        <v>30000</v>
      </c>
      <c r="S18" s="474">
        <f>'Key Assumptions &amp; Drivers'!$D$64*12</f>
        <v>30000</v>
      </c>
      <c r="T18" s="475">
        <f>'Key Assumptions &amp; Drivers'!$D$64*12</f>
        <v>30000</v>
      </c>
      <c r="U18" s="264"/>
      <c r="V18" s="8"/>
      <c r="W18" s="8"/>
      <c r="X18" s="8"/>
      <c r="Y18" s="25"/>
    </row>
    <row r="19" ht="13.75" customHeight="1">
      <c r="A19" s="260"/>
      <c r="B19" t="s" s="359">
        <v>225</v>
      </c>
      <c r="C19" s="416"/>
      <c r="D19" s="474">
        <v>0</v>
      </c>
      <c r="E19" s="474">
        <f>'Key Assumptions &amp; Drivers'!$D$65</f>
        <v>200</v>
      </c>
      <c r="F19" s="474">
        <f>'Key Assumptions &amp; Drivers'!$D$65</f>
        <v>200</v>
      </c>
      <c r="G19" s="474">
        <f>'Key Assumptions &amp; Drivers'!$D$65</f>
        <v>200</v>
      </c>
      <c r="H19" s="474">
        <f>'Key Assumptions &amp; Drivers'!$D$65</f>
        <v>200</v>
      </c>
      <c r="I19" s="474">
        <f>'Key Assumptions &amp; Drivers'!$D$65</f>
        <v>200</v>
      </c>
      <c r="J19" s="474">
        <f>'Key Assumptions &amp; Drivers'!$D$65</f>
        <v>200</v>
      </c>
      <c r="K19" s="474">
        <f>'Key Assumptions &amp; Drivers'!$D$65</f>
        <v>200</v>
      </c>
      <c r="L19" s="474">
        <f>'Key Assumptions &amp; Drivers'!$D$65</f>
        <v>200</v>
      </c>
      <c r="M19" s="474">
        <f>'Key Assumptions &amp; Drivers'!$D$65</f>
        <v>200</v>
      </c>
      <c r="N19" s="474">
        <f>'Key Assumptions &amp; Drivers'!$D$65</f>
        <v>200</v>
      </c>
      <c r="O19" s="474">
        <f>'Key Assumptions &amp; Drivers'!$D$65</f>
        <v>200</v>
      </c>
      <c r="P19" s="474">
        <f>SUM(D19:O19)</f>
        <v>2200</v>
      </c>
      <c r="Q19" s="474">
        <f>'Key Assumptions &amp; Drivers'!$D$65*12</f>
        <v>2400</v>
      </c>
      <c r="R19" s="474">
        <f>'Key Assumptions &amp; Drivers'!$D$65*12</f>
        <v>2400</v>
      </c>
      <c r="S19" s="474">
        <f>'Key Assumptions &amp; Drivers'!$D$65*12</f>
        <v>2400</v>
      </c>
      <c r="T19" s="475">
        <f>'Key Assumptions &amp; Drivers'!$D$65*12</f>
        <v>2400</v>
      </c>
      <c r="U19" s="264"/>
      <c r="V19" s="8"/>
      <c r="W19" s="8"/>
      <c r="X19" s="8"/>
      <c r="Y19" s="25"/>
    </row>
    <row r="20" ht="13.75" customHeight="1">
      <c r="A20" s="260"/>
      <c r="B20" t="s" s="359">
        <v>226</v>
      </c>
      <c r="C20" s="416"/>
      <c r="D20" s="474">
        <v>0</v>
      </c>
      <c r="E20" s="474">
        <f>'Key Assumptions &amp; Drivers'!$D$66/12</f>
        <v>2500</v>
      </c>
      <c r="F20" s="474">
        <f>'Key Assumptions &amp; Drivers'!$D$66/12</f>
        <v>2500</v>
      </c>
      <c r="G20" s="474">
        <f>'Key Assumptions &amp; Drivers'!$D$66/12</f>
        <v>2500</v>
      </c>
      <c r="H20" s="474">
        <f>'Key Assumptions &amp; Drivers'!$D$66/12</f>
        <v>2500</v>
      </c>
      <c r="I20" s="474">
        <f>'Key Assumptions &amp; Drivers'!$D$66/12</f>
        <v>2500</v>
      </c>
      <c r="J20" s="474">
        <f>'Key Assumptions &amp; Drivers'!$D$66/12</f>
        <v>2500</v>
      </c>
      <c r="K20" s="474">
        <f>'Key Assumptions &amp; Drivers'!$D$66/12</f>
        <v>2500</v>
      </c>
      <c r="L20" s="474">
        <f>'Key Assumptions &amp; Drivers'!$D$66/12</f>
        <v>2500</v>
      </c>
      <c r="M20" s="474">
        <f>'Key Assumptions &amp; Drivers'!$D$66/12</f>
        <v>2500</v>
      </c>
      <c r="N20" s="474">
        <f>'Key Assumptions &amp; Drivers'!$D$66/12</f>
        <v>2500</v>
      </c>
      <c r="O20" s="474">
        <f>'Key Assumptions &amp; Drivers'!$D$66/12</f>
        <v>2500</v>
      </c>
      <c r="P20" s="474">
        <f>SUM(D20:O20)</f>
        <v>27500</v>
      </c>
      <c r="Q20" s="474">
        <f>'Key Assumptions &amp; Drivers'!$D$66</f>
        <v>30000</v>
      </c>
      <c r="R20" s="474">
        <f>'Key Assumptions &amp; Drivers'!$D$66</f>
        <v>30000</v>
      </c>
      <c r="S20" s="474">
        <f>'Key Assumptions &amp; Drivers'!$D$66</f>
        <v>30000</v>
      </c>
      <c r="T20" s="475">
        <f>'Key Assumptions &amp; Drivers'!$D$66</f>
        <v>30000</v>
      </c>
      <c r="U20" s="264"/>
      <c r="V20" s="8"/>
      <c r="W20" s="8"/>
      <c r="X20" s="8"/>
      <c r="Y20" s="25"/>
    </row>
    <row r="21" ht="13.75" customHeight="1">
      <c r="A21" s="260"/>
      <c r="B21" t="s" s="359">
        <v>227</v>
      </c>
      <c r="C21" s="416"/>
      <c r="D21" s="474">
        <v>0</v>
      </c>
      <c r="E21" s="474">
        <f>'Key Assumptions &amp; Drivers'!$D$67</f>
        <v>1500</v>
      </c>
      <c r="F21" s="474">
        <f>'Key Assumptions &amp; Drivers'!$D$67</f>
        <v>1500</v>
      </c>
      <c r="G21" s="474">
        <f>'Key Assumptions &amp; Drivers'!$D$67</f>
        <v>1500</v>
      </c>
      <c r="H21" s="474">
        <f>'Key Assumptions &amp; Drivers'!$D$67</f>
        <v>1500</v>
      </c>
      <c r="I21" s="474">
        <f>'Key Assumptions &amp; Drivers'!$D$67</f>
        <v>1500</v>
      </c>
      <c r="J21" s="474">
        <f>'Key Assumptions &amp; Drivers'!$D$67</f>
        <v>1500</v>
      </c>
      <c r="K21" s="474">
        <f>'Key Assumptions &amp; Drivers'!$D$67</f>
        <v>1500</v>
      </c>
      <c r="L21" s="474">
        <f>'Key Assumptions &amp; Drivers'!$D$67</f>
        <v>1500</v>
      </c>
      <c r="M21" s="474">
        <f>'Key Assumptions &amp; Drivers'!$D$67</f>
        <v>1500</v>
      </c>
      <c r="N21" s="474">
        <f>'Key Assumptions &amp; Drivers'!$D$67</f>
        <v>1500</v>
      </c>
      <c r="O21" s="474">
        <f>'Key Assumptions &amp; Drivers'!$D$67</f>
        <v>1500</v>
      </c>
      <c r="P21" s="474">
        <f>SUM(D21:O21)</f>
        <v>16500</v>
      </c>
      <c r="Q21" s="474">
        <f>'Key Assumptions &amp; Drivers'!$D$67*12</f>
        <v>18000</v>
      </c>
      <c r="R21" s="474">
        <f>'Key Assumptions &amp; Drivers'!$D$67*12</f>
        <v>18000</v>
      </c>
      <c r="S21" s="474">
        <f>'Key Assumptions &amp; Drivers'!$D$67*12</f>
        <v>18000</v>
      </c>
      <c r="T21" s="475">
        <f>'Key Assumptions &amp; Drivers'!$D$67*12</f>
        <v>18000</v>
      </c>
      <c r="U21" s="264"/>
      <c r="V21" s="8"/>
      <c r="W21" s="8"/>
      <c r="X21" s="8"/>
      <c r="Y21" s="25"/>
    </row>
    <row r="22" ht="13.75" customHeight="1">
      <c r="A22" s="260"/>
      <c r="B22" t="s" s="359">
        <v>228</v>
      </c>
      <c r="C22" s="416"/>
      <c r="D22" s="474">
        <v>0</v>
      </c>
      <c r="E22" s="474">
        <f>'Key Assumptions &amp; Drivers'!$D$68</f>
        <v>1500</v>
      </c>
      <c r="F22" s="474">
        <f>'Key Assumptions &amp; Drivers'!$D$68</f>
        <v>1500</v>
      </c>
      <c r="G22" s="474">
        <f>'Key Assumptions &amp; Drivers'!$D$68</f>
        <v>1500</v>
      </c>
      <c r="H22" s="474">
        <f>'Key Assumptions &amp; Drivers'!$D$68</f>
        <v>1500</v>
      </c>
      <c r="I22" s="474">
        <f>'Key Assumptions &amp; Drivers'!$D$68</f>
        <v>1500</v>
      </c>
      <c r="J22" s="474">
        <f>'Key Assumptions &amp; Drivers'!$D$68</f>
        <v>1500</v>
      </c>
      <c r="K22" s="474">
        <f>'Key Assumptions &amp; Drivers'!$D$68</f>
        <v>1500</v>
      </c>
      <c r="L22" s="474">
        <f>'Key Assumptions &amp; Drivers'!$D$68</f>
        <v>1500</v>
      </c>
      <c r="M22" s="474">
        <f>'Key Assumptions &amp; Drivers'!$D$68</f>
        <v>1500</v>
      </c>
      <c r="N22" s="474">
        <f>'Key Assumptions &amp; Drivers'!$D$68</f>
        <v>1500</v>
      </c>
      <c r="O22" s="474">
        <f>'Key Assumptions &amp; Drivers'!$D$68</f>
        <v>1500</v>
      </c>
      <c r="P22" s="474">
        <f>SUM(D22:O22)</f>
        <v>16500</v>
      </c>
      <c r="Q22" s="474">
        <f>'Key Assumptions &amp; Drivers'!$D$68*12</f>
        <v>18000</v>
      </c>
      <c r="R22" s="474">
        <f>'Key Assumptions &amp; Drivers'!$D$68*12</f>
        <v>18000</v>
      </c>
      <c r="S22" s="474">
        <f>'Key Assumptions &amp; Drivers'!$D$68*12</f>
        <v>18000</v>
      </c>
      <c r="T22" s="475">
        <f>'Key Assumptions &amp; Drivers'!$D$68*12</f>
        <v>18000</v>
      </c>
      <c r="U22" s="264"/>
      <c r="V22" s="8"/>
      <c r="W22" s="8"/>
      <c r="X22" s="8"/>
      <c r="Y22" s="25"/>
    </row>
    <row r="23" ht="13.75" customHeight="1">
      <c r="A23" s="260"/>
      <c r="B23" t="s" s="359">
        <v>44</v>
      </c>
      <c r="C23" t="s" s="419">
        <v>200</v>
      </c>
      <c r="D23" s="278">
        <f>'Note F - Other analysis'!E24</f>
        <v>0</v>
      </c>
      <c r="E23" s="278">
        <f>'Note F - Other analysis'!F24</f>
        <v>433.807905780480</v>
      </c>
      <c r="F23" s="278">
        <f>'Note F - Other analysis'!G24</f>
        <v>450.307905780480</v>
      </c>
      <c r="G23" s="278">
        <f>'Note F - Other analysis'!H24</f>
        <v>466.807905780480</v>
      </c>
      <c r="H23" s="278">
        <f>'Note F - Other analysis'!I24</f>
        <v>483.307905780480</v>
      </c>
      <c r="I23" s="278">
        <f>'Note F - Other analysis'!J24</f>
        <v>499.807905780480</v>
      </c>
      <c r="J23" s="278">
        <f>'Note F - Other analysis'!K24</f>
        <v>524.654063896090</v>
      </c>
      <c r="K23" s="278">
        <f>'Note F - Other analysis'!L24</f>
        <v>541.154063896090</v>
      </c>
      <c r="L23" s="278">
        <f>'Note F - Other analysis'!M24</f>
        <v>557.654063896090</v>
      </c>
      <c r="M23" s="278">
        <f>'Note F - Other analysis'!N24</f>
        <v>574.154063896090</v>
      </c>
      <c r="N23" s="278">
        <f>'Note F - Other analysis'!O24</f>
        <v>590.654063896090</v>
      </c>
      <c r="O23" s="278">
        <f>'Note F - Other analysis'!P24</f>
        <v>607.154063896090</v>
      </c>
      <c r="P23" s="278">
        <f>'Note F - Other analysis'!Q24</f>
        <v>5729.463912278940</v>
      </c>
      <c r="Q23" s="278">
        <f>'Note F - Other analysis'!R24</f>
        <v>7586.005742088110</v>
      </c>
      <c r="R23" s="278">
        <f>'Note F - Other analysis'!S24</f>
        <v>7880.2858569299</v>
      </c>
      <c r="S23" s="278">
        <f>'Note F - Other analysis'!T24</f>
        <v>8191.856374068510</v>
      </c>
      <c r="T23" s="417">
        <f>'Note F - Other analysis'!U24</f>
        <v>8521.975485549830</v>
      </c>
      <c r="U23" s="264"/>
      <c r="V23" s="8"/>
      <c r="W23" s="8"/>
      <c r="X23" s="8"/>
      <c r="Y23" s="25"/>
    </row>
    <row r="24" ht="13.5" customHeight="1">
      <c r="A24" s="260"/>
      <c r="B24" t="s" s="386">
        <v>202</v>
      </c>
      <c r="C24" t="s" s="421">
        <v>200</v>
      </c>
      <c r="D24" s="462">
        <f>'Note F - Other analysis'!E26</f>
        <v>0</v>
      </c>
      <c r="E24" s="462">
        <f>'Note F - Other analysis'!F26</f>
        <v>953.0628233056</v>
      </c>
      <c r="F24" s="462">
        <f>'Note F - Other analysis'!G26</f>
        <v>989.3128233056</v>
      </c>
      <c r="G24" s="462">
        <f>'Note F - Other analysis'!H26</f>
        <v>1025.5628233056</v>
      </c>
      <c r="H24" s="462">
        <f>'Note F - Other analysis'!I26</f>
        <v>1061.8128233056</v>
      </c>
      <c r="I24" s="462">
        <f>'Note F - Other analysis'!J26</f>
        <v>1098.0628233056</v>
      </c>
      <c r="J24" s="462">
        <f>'Note F - Other analysis'!K26</f>
        <v>1152.649079771710</v>
      </c>
      <c r="K24" s="462">
        <f>'Note F - Other analysis'!L26</f>
        <v>1188.899079771710</v>
      </c>
      <c r="L24" s="462">
        <f>'Note F - Other analysis'!M26</f>
        <v>1225.149079771710</v>
      </c>
      <c r="M24" s="462">
        <f>'Note F - Other analysis'!N26</f>
        <v>1261.399079771710</v>
      </c>
      <c r="N24" s="462">
        <f>'Note F - Other analysis'!O26</f>
        <v>1297.649079771710</v>
      </c>
      <c r="O24" s="462">
        <f>'Note F - Other analysis'!P26</f>
        <v>1333.899079771710</v>
      </c>
      <c r="P24" s="462">
        <f>'Note F - Other analysis'!Q26</f>
        <v>12587.4585951583</v>
      </c>
      <c r="Q24" s="462">
        <f>'Note F - Other analysis'!R26</f>
        <v>16666.2247364057</v>
      </c>
      <c r="R24" s="462">
        <f>'Note F - Other analysis'!S26</f>
        <v>17312.7492311339</v>
      </c>
      <c r="S24" s="462">
        <f>'Note F - Other analysis'!T26</f>
        <v>17997.2602157566</v>
      </c>
      <c r="T24" s="463">
        <f>'Note F - Other analysis'!U26</f>
        <v>18722.5219000716</v>
      </c>
      <c r="U24" s="264"/>
      <c r="V24" s="8"/>
      <c r="W24" s="8"/>
      <c r="X24" s="8"/>
      <c r="Y24" s="25"/>
    </row>
    <row r="25" ht="13.5" customHeight="1">
      <c r="A25" s="260"/>
      <c r="B25" t="s" s="464">
        <v>229</v>
      </c>
      <c r="C25" s="476"/>
      <c r="D25" s="477">
        <f>SUM(D18:D24)</f>
        <v>25000</v>
      </c>
      <c r="E25" s="477">
        <f>SUM(E18:E24)</f>
        <v>32086.8707290861</v>
      </c>
      <c r="F25" s="477">
        <f>SUM(F18:F24)</f>
        <v>9639.620729086080</v>
      </c>
      <c r="G25" s="477">
        <f>SUM(G18:G24)</f>
        <v>9692.370729086080</v>
      </c>
      <c r="H25" s="477">
        <f>SUM(H18:H24)</f>
        <v>9745.120729086080</v>
      </c>
      <c r="I25" s="477">
        <f>SUM(I18:I24)</f>
        <v>9797.870729086080</v>
      </c>
      <c r="J25" s="477">
        <f>SUM(J18:J24)</f>
        <v>9877.303143667799</v>
      </c>
      <c r="K25" s="477">
        <f>SUM(K18:K24)</f>
        <v>9930.053143667799</v>
      </c>
      <c r="L25" s="477">
        <f>SUM(L18:L24)</f>
        <v>9982.803143667799</v>
      </c>
      <c r="M25" s="477">
        <f>SUM(M18:M24)</f>
        <v>10035.5531436678</v>
      </c>
      <c r="N25" s="477">
        <f>SUM(N18:N24)</f>
        <v>10088.3031436678</v>
      </c>
      <c r="O25" s="477">
        <f>SUM(O18:O24)</f>
        <v>10141.0531436678</v>
      </c>
      <c r="P25" s="477">
        <f>SUM(P18:P24)</f>
        <v>156016.922507437</v>
      </c>
      <c r="Q25" s="477">
        <f>SUM(Q18:Q24)</f>
        <v>122652.230478494</v>
      </c>
      <c r="R25" s="477">
        <f>SUM(R18:R24)</f>
        <v>123593.035088064</v>
      </c>
      <c r="S25" s="477">
        <f>SUM(S18:S24)</f>
        <v>124589.116589825</v>
      </c>
      <c r="T25" s="478">
        <f>SUM(T18:T24)</f>
        <v>125644.497385621</v>
      </c>
      <c r="U25" s="264"/>
      <c r="V25" s="8"/>
      <c r="W25" s="8"/>
      <c r="X25" s="8"/>
      <c r="Y25" s="25"/>
    </row>
    <row r="26" ht="13.5" customHeight="1">
      <c r="A26" s="260"/>
      <c r="B26" s="436"/>
      <c r="C26" s="425"/>
      <c r="D26" s="445"/>
      <c r="E26" s="445"/>
      <c r="F26" s="445"/>
      <c r="G26" s="445"/>
      <c r="H26" s="445"/>
      <c r="I26" s="445"/>
      <c r="J26" s="445"/>
      <c r="K26" s="445"/>
      <c r="L26" s="445"/>
      <c r="M26" s="445"/>
      <c r="N26" s="445"/>
      <c r="O26" s="445"/>
      <c r="P26" s="445"/>
      <c r="Q26" s="445"/>
      <c r="R26" s="445"/>
      <c r="S26" s="445"/>
      <c r="T26" s="446"/>
      <c r="U26" s="264"/>
      <c r="V26" s="8"/>
      <c r="W26" s="8"/>
      <c r="X26" s="8"/>
      <c r="Y26" s="25"/>
    </row>
    <row r="27" ht="14.25" customHeight="1">
      <c r="A27" s="260"/>
      <c r="B27" t="s" s="479">
        <v>230</v>
      </c>
      <c r="C27" s="429"/>
      <c r="D27" s="447">
        <f>D15+D25</f>
        <v>25000</v>
      </c>
      <c r="E27" s="447">
        <f>E15+E25</f>
        <v>41292.6040624194</v>
      </c>
      <c r="F27" s="447">
        <f>F15+F25</f>
        <v>18845.3540624194</v>
      </c>
      <c r="G27" s="447">
        <f>G15+G25</f>
        <v>18898.1040624194</v>
      </c>
      <c r="H27" s="447">
        <f>H15+H25</f>
        <v>18950.8540624194</v>
      </c>
      <c r="I27" s="447">
        <f>I15+I25</f>
        <v>19003.6040624194</v>
      </c>
      <c r="J27" s="447">
        <f>J15+J25</f>
        <v>19083.0364770011</v>
      </c>
      <c r="K27" s="447">
        <f>K15+K25</f>
        <v>19135.7864770011</v>
      </c>
      <c r="L27" s="447">
        <f>L15+L25</f>
        <v>19188.5364770011</v>
      </c>
      <c r="M27" s="447">
        <f>M15+M25</f>
        <v>19241.2864770011</v>
      </c>
      <c r="N27" s="447">
        <f>N15+N25</f>
        <v>19294.0364770011</v>
      </c>
      <c r="O27" s="447">
        <f>O15+O25</f>
        <v>19346.7864770011</v>
      </c>
      <c r="P27" s="447">
        <f>P15+P25</f>
        <v>257279.989174104</v>
      </c>
      <c r="Q27" s="447">
        <f>Q15+Q25</f>
        <v>242757.670478494</v>
      </c>
      <c r="R27" s="447">
        <f>R15+R25</f>
        <v>254214.164688064</v>
      </c>
      <c r="S27" s="447">
        <f>S15+S25</f>
        <v>266687.813485825</v>
      </c>
      <c r="T27" s="480">
        <f>T15+T25</f>
        <v>280273.445567381</v>
      </c>
      <c r="U27" s="264"/>
      <c r="V27" s="8"/>
      <c r="W27" s="8"/>
      <c r="X27" s="8"/>
      <c r="Y27" s="25"/>
    </row>
    <row r="28" ht="12" customHeight="1">
      <c r="A28" s="260"/>
      <c r="B28" t="s" s="481">
        <v>231</v>
      </c>
      <c r="C28" s="482"/>
      <c r="D28" s="452">
        <f>_xlfn.IFERROR(IF((D27/'Notes A&amp;B - Revenue &amp; COGS'!E24)&lt;0,0,(D27/'Notes A&amp;B - Revenue &amp; COGS'!E24)),0)</f>
        <v>0</v>
      </c>
      <c r="E28" s="452">
        <f>_xlfn.IFERROR(IF((E27/'Notes A&amp;B - Revenue &amp; COGS'!F24)&lt;0,0,(E27/'Notes A&amp;B - Revenue &amp; COGS'!F24)),0)</f>
        <v>0.498386761511271</v>
      </c>
      <c r="F28" s="452">
        <f>_xlfn.IFERROR(IF((F27/'Notes A&amp;B - Revenue &amp; COGS'!G24)&lt;0,0,(F27/'Notes A&amp;B - Revenue &amp; COGS'!G24)),0)</f>
        <v>0.220671996583047</v>
      </c>
      <c r="G28" s="452">
        <f>_xlfn.IFERROR(IF((G27/'Notes A&amp;B - Revenue &amp; COGS'!H24)&lt;0,0,(G27/'Notes A&amp;B - Revenue &amp; COGS'!H24)),0)</f>
        <v>0.214880213443749</v>
      </c>
      <c r="H28" s="452">
        <f>_xlfn.IFERROR(IF((H27/'Notes A&amp;B - Revenue &amp; COGS'!I24)&lt;0,0,(H27/'Notes A&amp;B - Revenue &amp; COGS'!I24)),0)</f>
        <v>0.209414494205706</v>
      </c>
      <c r="I28" s="452">
        <f>_xlfn.IFERROR(IF((I27/'Notes A&amp;B - Revenue &amp; COGS'!J24)&lt;0,0,(I27/'Notes A&amp;B - Revenue &amp; COGS'!J24)),0)</f>
        <v>0.20424805776839</v>
      </c>
      <c r="J28" s="452">
        <f>_xlfn.IFERROR(IF((J27/'Notes A&amp;B - Revenue &amp; COGS'!K24)&lt;0,0,(J27/'Notes A&amp;B - Revenue &amp; COGS'!K24)),0)</f>
        <v>0.196337222906368</v>
      </c>
      <c r="K28" s="452">
        <f>_xlfn.IFERROR(IF((K27/'Notes A&amp;B - Revenue &amp; COGS'!L24)&lt;0,0,(K27/'Notes A&amp;B - Revenue &amp; COGS'!L24)),0)</f>
        <v>0.191851848317876</v>
      </c>
      <c r="L28" s="452">
        <f>_xlfn.IFERROR(IF((L27/'Notes A&amp;B - Revenue &amp; COGS'!M24)&lt;0,0,(L27/'Notes A&amp;B - Revenue &amp; COGS'!M24)),0)</f>
        <v>0.18758987144617</v>
      </c>
      <c r="M28" s="452">
        <f>_xlfn.IFERROR(IF((M27/'Notes A&amp;B - Revenue &amp; COGS'!N24)&lt;0,0,(M27/'Notes A&amp;B - Revenue &amp; COGS'!N24)),0)</f>
        <v>0.183535008059408</v>
      </c>
      <c r="N28" s="452">
        <f>_xlfn.IFERROR(IF((N27/'Notes A&amp;B - Revenue &amp; COGS'!O24)&lt;0,0,(N27/'Notes A&amp;B - Revenue &amp; COGS'!O24)),0)</f>
        <v>0.179672519067447</v>
      </c>
      <c r="O28" s="452">
        <f>_xlfn.IFERROR(IF((O27/'Notes A&amp;B - Revenue &amp; COGS'!P24)&lt;0,0,(O27/'Notes A&amp;B - Revenue &amp; COGS'!P24)),0)</f>
        <v>0.175989031503482</v>
      </c>
      <c r="P28" s="452">
        <f>_xlfn.IFERROR(IF((P27/'Notes A&amp;B - Revenue &amp; COGS'!Q24)&lt;0,0,(P27/'Notes A&amp;B - Revenue &amp; COGS'!Q24)),0)</f>
        <v>0.242461534292471</v>
      </c>
      <c r="Q28" s="452">
        <f>_xlfn.IFERROR(IF((Q27/'Notes A&amp;B - Revenue &amp; COGS'!R24)&lt;0,0,(Q27/'Notes A&amp;B - Revenue &amp; COGS'!R24)),0)</f>
        <v>0.177272011168612</v>
      </c>
      <c r="R28" s="452">
        <f>_xlfn.IFERROR(IF((R27/'Notes A&amp;B - Revenue &amp; COGS'!S24)&lt;0,0,(R27/'Notes A&amp;B - Revenue &amp; COGS'!S24)),0)</f>
        <v>0.179174878957893</v>
      </c>
      <c r="S28" s="452">
        <f>_xlfn.IFERROR(IF((S27/'Notes A&amp;B - Revenue &amp; COGS'!T24)&lt;0,0,(S27/'Notes A&amp;B - Revenue &amp; COGS'!T24)),0)</f>
        <v>0.181303073793944</v>
      </c>
      <c r="T28" s="453">
        <f>_xlfn.IFERROR(IF((T27/'Notes A&amp;B - Revenue &amp; COGS'!U24)&lt;0,0,(T27/'Notes A&amp;B - Revenue &amp; COGS'!U24)),0)</f>
        <v>0.183660570021025</v>
      </c>
      <c r="U28" s="264"/>
      <c r="V28" s="8"/>
      <c r="W28" s="8"/>
      <c r="X28" s="8"/>
      <c r="Y28" s="25"/>
    </row>
    <row r="29" ht="13.5" customHeight="1">
      <c r="A29" s="23"/>
      <c r="B29" s="350"/>
      <c r="C29" s="350"/>
      <c r="D29" s="350"/>
      <c r="E29" s="350"/>
      <c r="F29" s="350"/>
      <c r="G29" s="350"/>
      <c r="H29" s="350"/>
      <c r="I29" s="350"/>
      <c r="J29" s="350"/>
      <c r="K29" s="350"/>
      <c r="L29" s="350"/>
      <c r="M29" s="350"/>
      <c r="N29" s="350"/>
      <c r="O29" s="350"/>
      <c r="P29" s="350"/>
      <c r="Q29" s="350"/>
      <c r="R29" s="350"/>
      <c r="S29" s="350"/>
      <c r="T29" s="350"/>
      <c r="U29" s="8"/>
      <c r="V29" s="8"/>
      <c r="W29" s="8"/>
      <c r="X29" s="8"/>
      <c r="Y29" s="25"/>
    </row>
    <row r="30" ht="14.25" customHeight="1">
      <c r="A30" s="260"/>
      <c r="B30" t="s" s="483">
        <v>232</v>
      </c>
      <c r="C30" t="s" s="484">
        <v>233</v>
      </c>
      <c r="D30" s="485"/>
      <c r="E30" s="485"/>
      <c r="F30" s="485"/>
      <c r="G30" s="485"/>
      <c r="H30" s="485"/>
      <c r="I30" s="485"/>
      <c r="J30" s="485"/>
      <c r="K30" s="485"/>
      <c r="L30" s="485"/>
      <c r="M30" s="485"/>
      <c r="N30" s="485"/>
      <c r="O30" s="485"/>
      <c r="P30" s="485"/>
      <c r="Q30" s="485"/>
      <c r="R30" s="485"/>
      <c r="S30" s="485"/>
      <c r="T30" s="486"/>
      <c r="U30" s="264"/>
      <c r="V30" s="8"/>
      <c r="W30" s="8"/>
      <c r="X30" s="8"/>
      <c r="Y30" s="25"/>
    </row>
    <row r="31" ht="13.75" customHeight="1">
      <c r="A31" s="487">
        <v>1</v>
      </c>
      <c r="B31" t="s" s="488">
        <f>'Key Assumptions &amp; Drivers'!B72</f>
        <v>234</v>
      </c>
      <c r="C31" s="489">
        <f>'Key Assumptions &amp; Drivers'!$E$72</f>
        <v>30</v>
      </c>
      <c r="D31" s="252">
        <v>0</v>
      </c>
      <c r="E31" s="252">
        <f>$C$33*$C$31/12</f>
        <v>5200</v>
      </c>
      <c r="F31" s="252">
        <f>$C$33*$C$31/12</f>
        <v>5200</v>
      </c>
      <c r="G31" s="252">
        <f>$C$33*$C$31/12</f>
        <v>5200</v>
      </c>
      <c r="H31" s="252">
        <f>$C$33*$C$31/12</f>
        <v>5200</v>
      </c>
      <c r="I31" s="252">
        <f>$C$33*$C$31/12</f>
        <v>5200</v>
      </c>
      <c r="J31" s="252">
        <f>$C$33*$C$31/12</f>
        <v>5200</v>
      </c>
      <c r="K31" s="252">
        <f>$C$33*$C$31/12</f>
        <v>5200</v>
      </c>
      <c r="L31" s="252">
        <f>$C$33*$C$31/12</f>
        <v>5200</v>
      </c>
      <c r="M31" s="252">
        <f>$C$33*$C$31/12</f>
        <v>5200</v>
      </c>
      <c r="N31" s="252">
        <f>$C$33*$C$31/12</f>
        <v>5200</v>
      </c>
      <c r="O31" s="252">
        <f>$C$33*$C$31/12</f>
        <v>5200</v>
      </c>
      <c r="P31" s="278">
        <f>SUM(D31:O31)</f>
        <v>57200</v>
      </c>
      <c r="Q31" s="252">
        <f>(C31*C33)*(1+Q32)</f>
        <v>66144</v>
      </c>
      <c r="R31" s="252">
        <f>Q31*(1+R32)</f>
        <v>70112.64</v>
      </c>
      <c r="S31" s="252">
        <f>R31*(1+S32)</f>
        <v>74319.398400000005</v>
      </c>
      <c r="T31" s="362">
        <f>S31*(1+T32)</f>
        <v>78778.562304000006</v>
      </c>
      <c r="U31" s="264"/>
      <c r="V31" s="8"/>
      <c r="W31" s="8"/>
      <c r="X31" s="8"/>
      <c r="Y31" s="25"/>
    </row>
    <row r="32" ht="13.75" customHeight="1">
      <c r="A32" s="260"/>
      <c r="B32" t="s" s="490">
        <v>69</v>
      </c>
      <c r="C32" t="s" s="312">
        <v>235</v>
      </c>
      <c r="D32" s="252"/>
      <c r="E32" s="252"/>
      <c r="F32" s="252"/>
      <c r="G32" s="252"/>
      <c r="H32" s="252"/>
      <c r="I32" s="252"/>
      <c r="J32" s="252"/>
      <c r="K32" s="252"/>
      <c r="L32" s="252"/>
      <c r="M32" s="252"/>
      <c r="N32" s="252"/>
      <c r="O32" s="252"/>
      <c r="P32" s="491"/>
      <c r="Q32" s="492">
        <f>'Key Assumptions &amp; Drivers'!G$72</f>
        <v>0.06</v>
      </c>
      <c r="R32" s="492">
        <f>'Key Assumptions &amp; Drivers'!H$72</f>
        <v>0.06</v>
      </c>
      <c r="S32" s="492">
        <f>'Key Assumptions &amp; Drivers'!I$72</f>
        <v>0.06</v>
      </c>
      <c r="T32" s="493">
        <f>'Key Assumptions &amp; Drivers'!J$72</f>
        <v>0.06</v>
      </c>
      <c r="U32" s="264"/>
      <c r="V32" s="8"/>
      <c r="W32" s="8"/>
      <c r="X32" s="8"/>
      <c r="Y32" s="25"/>
    </row>
    <row r="33" ht="13.75" customHeight="1">
      <c r="A33" s="260"/>
      <c r="B33" t="s" s="490">
        <v>236</v>
      </c>
      <c r="C33" s="494">
        <f>'Key Assumptions &amp; Drivers'!$F$72</f>
        <v>2080</v>
      </c>
      <c r="D33" s="252"/>
      <c r="E33" s="252"/>
      <c r="F33" s="252"/>
      <c r="G33" s="252"/>
      <c r="H33" s="252"/>
      <c r="I33" s="252"/>
      <c r="J33" s="252"/>
      <c r="K33" s="252"/>
      <c r="L33" s="252"/>
      <c r="M33" s="252"/>
      <c r="N33" s="252"/>
      <c r="O33" s="252"/>
      <c r="P33" s="491"/>
      <c r="Q33" s="491"/>
      <c r="R33" s="491"/>
      <c r="S33" s="491"/>
      <c r="T33" s="495"/>
      <c r="U33" s="264"/>
      <c r="V33" s="8"/>
      <c r="W33" s="8"/>
      <c r="X33" s="8"/>
      <c r="Y33" s="25"/>
    </row>
    <row r="34" ht="13.75" customHeight="1">
      <c r="A34" s="487">
        <v>2</v>
      </c>
      <c r="B34" t="s" s="488">
        <f>'Key Assumptions &amp; Drivers'!B73</f>
        <v>237</v>
      </c>
      <c r="C34" s="489">
        <f>'Key Assumptions &amp; Drivers'!$E$73</f>
        <v>16</v>
      </c>
      <c r="D34" s="252">
        <v>0</v>
      </c>
      <c r="E34" s="252">
        <f>$C$36*$C$34/12</f>
        <v>2773.333333333330</v>
      </c>
      <c r="F34" s="252">
        <f>$C$36*$C$34/12</f>
        <v>2773.333333333330</v>
      </c>
      <c r="G34" s="252">
        <f>$C$36*$C$34/12</f>
        <v>2773.333333333330</v>
      </c>
      <c r="H34" s="252">
        <f>$C$36*$C$34/12</f>
        <v>2773.333333333330</v>
      </c>
      <c r="I34" s="252">
        <f>$C$36*$C$34/12</f>
        <v>2773.333333333330</v>
      </c>
      <c r="J34" s="252">
        <f>$C$36*$C$34/12</f>
        <v>2773.333333333330</v>
      </c>
      <c r="K34" s="252">
        <f>$C$36*$C$34/12</f>
        <v>2773.333333333330</v>
      </c>
      <c r="L34" s="252">
        <f>$C$36*$C$34/12</f>
        <v>2773.333333333330</v>
      </c>
      <c r="M34" s="252">
        <f>$C$36*$C$34/12</f>
        <v>2773.333333333330</v>
      </c>
      <c r="N34" s="252">
        <f>$C$36*$C$34/12</f>
        <v>2773.333333333330</v>
      </c>
      <c r="O34" s="252">
        <f>$C$36*$C$34/12</f>
        <v>2773.333333333330</v>
      </c>
      <c r="P34" s="278">
        <f>SUM(D34:O34)</f>
        <v>30506.6666666666</v>
      </c>
      <c r="Q34" s="252">
        <f>(C34*C36)*(1+Q35)</f>
        <v>35276.8</v>
      </c>
      <c r="R34" s="252">
        <f>Q34*(1+R35)</f>
        <v>37393.408</v>
      </c>
      <c r="S34" s="252">
        <f>R34*(1+S35)</f>
        <v>39637.01248</v>
      </c>
      <c r="T34" s="362">
        <f>S34*(1+T35)</f>
        <v>42015.2332288</v>
      </c>
      <c r="U34" s="264"/>
      <c r="V34" s="8"/>
      <c r="W34" s="8"/>
      <c r="X34" s="8"/>
      <c r="Y34" s="25"/>
    </row>
    <row r="35" ht="13.75" customHeight="1">
      <c r="A35" s="260"/>
      <c r="B35" t="s" s="490">
        <v>69</v>
      </c>
      <c r="C35" t="s" s="312">
        <v>238</v>
      </c>
      <c r="D35" s="252"/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2"/>
      <c r="P35" s="278"/>
      <c r="Q35" s="492">
        <f>'Key Assumptions &amp; Drivers'!G$73</f>
        <v>0.06</v>
      </c>
      <c r="R35" s="492">
        <f>'Key Assumptions &amp; Drivers'!H$73</f>
        <v>0.06</v>
      </c>
      <c r="S35" s="492">
        <f>'Key Assumptions &amp; Drivers'!I$73</f>
        <v>0.06</v>
      </c>
      <c r="T35" s="493">
        <f>'Key Assumptions &amp; Drivers'!J$73</f>
        <v>0.06</v>
      </c>
      <c r="U35" s="264"/>
      <c r="V35" s="8"/>
      <c r="W35" s="8"/>
      <c r="X35" s="8"/>
      <c r="Y35" s="25"/>
    </row>
    <row r="36" ht="13.75" customHeight="1">
      <c r="A36" s="260"/>
      <c r="B36" t="s" s="490">
        <v>236</v>
      </c>
      <c r="C36" s="494">
        <f>'Key Assumptions &amp; Drivers'!$F$73</f>
        <v>2080</v>
      </c>
      <c r="D36" s="252"/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78"/>
      <c r="Q36" s="491"/>
      <c r="R36" s="491"/>
      <c r="S36" s="491"/>
      <c r="T36" s="495"/>
      <c r="U36" s="264"/>
      <c r="V36" s="8"/>
      <c r="W36" s="8"/>
      <c r="X36" s="8"/>
      <c r="Y36" s="25"/>
    </row>
    <row r="37" ht="13.75" customHeight="1">
      <c r="A37" s="487">
        <v>3</v>
      </c>
      <c r="B37" t="s" s="488">
        <f>'Key Assumptions &amp; Drivers'!B74</f>
        <v>239</v>
      </c>
      <c r="C37" s="489">
        <f>'Key Assumptions &amp; Drivers'!$E$74</f>
        <v>16</v>
      </c>
      <c r="D37" s="252">
        <v>0</v>
      </c>
      <c r="E37" s="252">
        <f>$C$39*$C$37/12</f>
        <v>2773.333333333330</v>
      </c>
      <c r="F37" s="252">
        <f>$C$39*$C$37/12</f>
        <v>2773.333333333330</v>
      </c>
      <c r="G37" s="252">
        <f>$C$39*$C$37/12</f>
        <v>2773.333333333330</v>
      </c>
      <c r="H37" s="252">
        <f>$C$39*$C$37/12</f>
        <v>2773.333333333330</v>
      </c>
      <c r="I37" s="252">
        <f>$C$39*$C$37/12</f>
        <v>2773.333333333330</v>
      </c>
      <c r="J37" s="252">
        <f>$C$39*$C$37/12</f>
        <v>2773.333333333330</v>
      </c>
      <c r="K37" s="252">
        <f>$C$39*$C$37/12</f>
        <v>2773.333333333330</v>
      </c>
      <c r="L37" s="252">
        <f>$C$39*$C$37/12</f>
        <v>2773.333333333330</v>
      </c>
      <c r="M37" s="252">
        <f>$C$39*$C$37/12</f>
        <v>2773.333333333330</v>
      </c>
      <c r="N37" s="252">
        <f>$C$39*$C$37/12</f>
        <v>2773.333333333330</v>
      </c>
      <c r="O37" s="252">
        <f>$C$39*$C$37/12</f>
        <v>2773.333333333330</v>
      </c>
      <c r="P37" s="278">
        <f>SUM(D37:O37)</f>
        <v>30506.6666666666</v>
      </c>
      <c r="Q37" s="252">
        <f>(C37*C39)*(1+Q38)</f>
        <v>36608</v>
      </c>
      <c r="R37" s="252">
        <f>Q37*(1+R38)</f>
        <v>40268.8</v>
      </c>
      <c r="S37" s="252">
        <f>R37*(1+S38)</f>
        <v>44295.68</v>
      </c>
      <c r="T37" s="362">
        <f>S37*(1+T38)</f>
        <v>48725.248</v>
      </c>
      <c r="U37" s="264"/>
      <c r="V37" s="8"/>
      <c r="W37" s="8"/>
      <c r="X37" s="8"/>
      <c r="Y37" s="25"/>
    </row>
    <row r="38" ht="13.75" customHeight="1">
      <c r="A38" s="260"/>
      <c r="B38" t="s" s="490">
        <v>69</v>
      </c>
      <c r="C38" t="s" s="312">
        <v>240</v>
      </c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78"/>
      <c r="Q38" s="492">
        <f>'Key Assumptions &amp; Drivers'!G$74</f>
        <v>0.1</v>
      </c>
      <c r="R38" s="492">
        <f>'Key Assumptions &amp; Drivers'!H$74</f>
        <v>0.1</v>
      </c>
      <c r="S38" s="492">
        <f>'Key Assumptions &amp; Drivers'!I$74</f>
        <v>0.1</v>
      </c>
      <c r="T38" s="493">
        <f>'Key Assumptions &amp; Drivers'!J$74</f>
        <v>0.1</v>
      </c>
      <c r="U38" s="264"/>
      <c r="V38" s="8"/>
      <c r="W38" s="8"/>
      <c r="X38" s="8"/>
      <c r="Y38" s="25"/>
    </row>
    <row r="39" ht="13.75" customHeight="1">
      <c r="A39" s="260"/>
      <c r="B39" t="s" s="490">
        <v>236</v>
      </c>
      <c r="C39" s="494">
        <f>'Key Assumptions &amp; Drivers'!$F$74</f>
        <v>2080</v>
      </c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78"/>
      <c r="Q39" s="491"/>
      <c r="R39" s="491"/>
      <c r="S39" s="491"/>
      <c r="T39" s="495"/>
      <c r="U39" s="264"/>
      <c r="V39" s="8"/>
      <c r="W39" s="8"/>
      <c r="X39" s="8"/>
      <c r="Y39" s="25"/>
    </row>
    <row r="40" ht="13.75" customHeight="1">
      <c r="A40" s="487">
        <v>4</v>
      </c>
      <c r="B40" t="s" s="488">
        <f>'Key Assumptions &amp; Drivers'!B75</f>
        <v>239</v>
      </c>
      <c r="C40" s="489">
        <f>'Key Assumptions &amp; Drivers'!$E$75</f>
        <v>16</v>
      </c>
      <c r="D40" s="252">
        <v>0</v>
      </c>
      <c r="E40" s="252">
        <f>$C$42*$C$40/12</f>
        <v>2773.333333333330</v>
      </c>
      <c r="F40" s="252">
        <f>$C$42*$C$40/12</f>
        <v>2773.333333333330</v>
      </c>
      <c r="G40" s="252">
        <f>$C$42*$C$40/12</f>
        <v>2773.333333333330</v>
      </c>
      <c r="H40" s="252">
        <f>$C$42*$C$40/12</f>
        <v>2773.333333333330</v>
      </c>
      <c r="I40" s="252">
        <f>$C$42*$C$40/12</f>
        <v>2773.333333333330</v>
      </c>
      <c r="J40" s="252">
        <f>$C$42*$C$40/12</f>
        <v>2773.333333333330</v>
      </c>
      <c r="K40" s="252">
        <f>$C$42*$C$40/12</f>
        <v>2773.333333333330</v>
      </c>
      <c r="L40" s="252">
        <f>$C$42*$C$40/12</f>
        <v>2773.333333333330</v>
      </c>
      <c r="M40" s="252">
        <f>$C$42*$C$40/12</f>
        <v>2773.333333333330</v>
      </c>
      <c r="N40" s="252">
        <f>$C$42*$C$40/12</f>
        <v>2773.333333333330</v>
      </c>
      <c r="O40" s="252">
        <f>$C$42*$C$40/12</f>
        <v>2773.333333333330</v>
      </c>
      <c r="P40" s="278">
        <f>SUM(D40:O40)</f>
        <v>30506.6666666666</v>
      </c>
      <c r="Q40" s="252">
        <f>(C40*C42)*(1+Q41)</f>
        <v>36608</v>
      </c>
      <c r="R40" s="252">
        <f>Q40*(1+R41)</f>
        <v>40268.8</v>
      </c>
      <c r="S40" s="252">
        <f>R40*(1+S41)</f>
        <v>44295.68</v>
      </c>
      <c r="T40" s="362">
        <f>S40*(1+T41)</f>
        <v>48725.248</v>
      </c>
      <c r="U40" s="264"/>
      <c r="V40" s="8"/>
      <c r="W40" s="8"/>
      <c r="X40" s="8"/>
      <c r="Y40" s="25"/>
    </row>
    <row r="41" ht="13.75" customHeight="1">
      <c r="A41" s="260"/>
      <c r="B41" t="s" s="490">
        <v>69</v>
      </c>
      <c r="C41" t="s" s="312">
        <v>241</v>
      </c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78"/>
      <c r="Q41" s="492">
        <f>'Key Assumptions &amp; Drivers'!G$75</f>
        <v>0.1</v>
      </c>
      <c r="R41" s="492">
        <f>'Key Assumptions &amp; Drivers'!H$75</f>
        <v>0.1</v>
      </c>
      <c r="S41" s="492">
        <f>'Key Assumptions &amp; Drivers'!I$75</f>
        <v>0.1</v>
      </c>
      <c r="T41" s="493">
        <f>'Key Assumptions &amp; Drivers'!J$75</f>
        <v>0.1</v>
      </c>
      <c r="U41" s="264"/>
      <c r="V41" s="8"/>
      <c r="W41" s="8"/>
      <c r="X41" s="8"/>
      <c r="Y41" s="25"/>
    </row>
    <row r="42" ht="13.75" customHeight="1">
      <c r="A42" s="260"/>
      <c r="B42" t="s" s="490">
        <v>236</v>
      </c>
      <c r="C42" s="494">
        <f>'Key Assumptions &amp; Drivers'!$F$75</f>
        <v>2080</v>
      </c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78"/>
      <c r="Q42" s="491"/>
      <c r="R42" s="491"/>
      <c r="S42" s="491"/>
      <c r="T42" s="495"/>
      <c r="U42" s="264"/>
      <c r="V42" s="8"/>
      <c r="W42" s="8"/>
      <c r="X42" s="8"/>
      <c r="Y42" s="25"/>
    </row>
    <row r="43" ht="13.75" customHeight="1">
      <c r="A43" s="260"/>
      <c r="B43" t="s" s="496">
        <v>242</v>
      </c>
      <c r="C43" s="497"/>
      <c r="D43" s="498">
        <f>SUM(D31,D34,D37,D40)</f>
        <v>0</v>
      </c>
      <c r="E43" s="498">
        <f>SUM(E31,E34,E37,E40)</f>
        <v>13520</v>
      </c>
      <c r="F43" s="498">
        <f>SUM(F31,F34,F37,F40)</f>
        <v>13520</v>
      </c>
      <c r="G43" s="498">
        <f>SUM(G31,G34,G37,G40)</f>
        <v>13520</v>
      </c>
      <c r="H43" s="498">
        <f>SUM(H31,H34,H37,H40)</f>
        <v>13520</v>
      </c>
      <c r="I43" s="498">
        <f>SUM(I31,I34,I37,I40)</f>
        <v>13520</v>
      </c>
      <c r="J43" s="498">
        <f>SUM(J31,J34,J37,J40)</f>
        <v>13520</v>
      </c>
      <c r="K43" s="498">
        <f>SUM(K31,K34,K37,K40)</f>
        <v>13520</v>
      </c>
      <c r="L43" s="498">
        <f>SUM(L31,L34,L37,L40)</f>
        <v>13520</v>
      </c>
      <c r="M43" s="498">
        <f>SUM(M31,M34,M37,M40)</f>
        <v>13520</v>
      </c>
      <c r="N43" s="498">
        <f>SUM(N31,N34,N37,N40)</f>
        <v>13520</v>
      </c>
      <c r="O43" s="498">
        <f>SUM(O31,O34,O37,O40)</f>
        <v>13520</v>
      </c>
      <c r="P43" s="498">
        <f>SUM(D43:O43)</f>
        <v>148720</v>
      </c>
      <c r="Q43" s="498">
        <f>SUM(Q31,Q34,Q37,Q40)</f>
        <v>174636.8</v>
      </c>
      <c r="R43" s="498">
        <f>SUM(R31,R34,R37,R40)</f>
        <v>188043.648</v>
      </c>
      <c r="S43" s="498">
        <f>SUM(S31,S34,S37,S40)</f>
        <v>202547.77088</v>
      </c>
      <c r="T43" s="499">
        <f>SUM(T31,T34,T37,T40)</f>
        <v>218244.2915328</v>
      </c>
      <c r="U43" s="264"/>
      <c r="V43" s="8"/>
      <c r="W43" s="8"/>
      <c r="X43" s="8"/>
      <c r="Y43" s="25"/>
    </row>
    <row r="44" ht="13.5" customHeight="1">
      <c r="A44" s="260"/>
      <c r="B44" s="500"/>
      <c r="C44" s="217"/>
      <c r="D44" s="217"/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501"/>
      <c r="U44" s="264"/>
      <c r="V44" s="8"/>
      <c r="W44" s="8"/>
      <c r="X44" s="8"/>
      <c r="Y44" s="25"/>
    </row>
    <row r="45" ht="13.5" customHeight="1">
      <c r="A45" s="23"/>
      <c r="B45" s="267"/>
      <c r="C45" s="267"/>
      <c r="D45" s="267"/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8"/>
      <c r="V45" s="8"/>
      <c r="W45" s="8"/>
      <c r="X45" s="8"/>
      <c r="Y45" s="25"/>
    </row>
    <row r="46" ht="9" customHeight="1" hidden="1">
      <c r="A46" s="23"/>
      <c r="B46" t="s" s="256">
        <v>243</v>
      </c>
      <c r="C46" s="8"/>
      <c r="D46" s="8"/>
      <c r="E46" s="8"/>
      <c r="F46" s="252">
        <f>F9+'Note F - Other analysis'!G29</f>
        <v>13520</v>
      </c>
      <c r="G46" s="252">
        <f>G9+'Note F - Other analysis'!H29</f>
        <v>13520</v>
      </c>
      <c r="H46" s="252">
        <f>H9+'Note F - Other analysis'!I29</f>
        <v>13520</v>
      </c>
      <c r="I46" s="252">
        <f>I9+'Note F - Other analysis'!J29</f>
        <v>13520</v>
      </c>
      <c r="J46" s="252">
        <f>J9+'Note F - Other analysis'!K29</f>
        <v>13520</v>
      </c>
      <c r="K46" s="252">
        <f>K9+'Note F - Other analysis'!L29</f>
        <v>13520</v>
      </c>
      <c r="L46" s="252">
        <f>L9+'Note F - Other analysis'!M29</f>
        <v>13520</v>
      </c>
      <c r="M46" s="252">
        <f>M9+'Note F - Other analysis'!N29</f>
        <v>13520</v>
      </c>
      <c r="N46" s="252">
        <f>N9+'Note F - Other analysis'!O29</f>
        <v>13520</v>
      </c>
      <c r="O46" s="252">
        <f>O9+'Note F - Other analysis'!P29</f>
        <v>13520</v>
      </c>
      <c r="P46" s="252">
        <f>P9+'Note F - Other analysis'!Q29</f>
        <v>148720</v>
      </c>
      <c r="Q46" s="252">
        <f>Q9+'Note F - Other analysis'!R29</f>
        <v>174636.8</v>
      </c>
      <c r="R46" s="252">
        <f>R9+'Note F - Other analysis'!S29</f>
        <v>188043.648</v>
      </c>
      <c r="S46" s="252">
        <f>S9+'Note F - Other analysis'!T29</f>
        <v>202547.77088</v>
      </c>
      <c r="T46" s="252">
        <f>T9+'Note F - Other analysis'!U29</f>
        <v>218244.2915328</v>
      </c>
      <c r="U46" s="8"/>
      <c r="V46" s="8"/>
      <c r="W46" s="8"/>
      <c r="X46" s="8"/>
      <c r="Y46" s="25"/>
    </row>
    <row r="47" ht="13" customHeight="1">
      <c r="A47" s="23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25"/>
    </row>
    <row r="48" ht="13.75" customHeight="1">
      <c r="A48" s="23"/>
      <c r="B48" s="8"/>
      <c r="C48" s="8"/>
      <c r="D48" s="252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25"/>
    </row>
    <row r="49" ht="13.75" customHeight="1">
      <c r="A49" s="23"/>
      <c r="B49" s="8"/>
      <c r="C49" s="8"/>
      <c r="D49" s="252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25"/>
    </row>
    <row r="50" ht="13.75" customHeight="1">
      <c r="A50" s="205"/>
      <c r="B50" s="209"/>
      <c r="C50" s="209"/>
      <c r="D50" s="502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10"/>
    </row>
  </sheetData>
  <pageMargins left="0" right="0" top="0.75" bottom="0.75" header="0" footer="0"/>
  <pageSetup firstPageNumber="1" fitToHeight="1" fitToWidth="1" scale="115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Y60"/>
  <sheetViews>
    <sheetView workbookViewId="0" showGridLines="0" defaultGridColor="1"/>
  </sheetViews>
  <sheetFormatPr defaultColWidth="9.25" defaultRowHeight="13.15" customHeight="1" outlineLevelRow="0" outlineLevelCol="0"/>
  <cols>
    <col min="1" max="1" width="2.75" style="503" customWidth="1"/>
    <col min="2" max="2" width="26.75" style="503" customWidth="1"/>
    <col min="3" max="3" width="14.75" style="503" customWidth="1"/>
    <col min="4" max="18" width="13.5" style="503" customWidth="1"/>
    <col min="19" max="19" width="14.75" style="503" customWidth="1"/>
    <col min="20" max="20" width="16.25" style="503" customWidth="1"/>
    <col min="21" max="25" width="9.5" style="503" customWidth="1"/>
    <col min="26" max="16384" width="9.25" style="503" customWidth="1"/>
  </cols>
  <sheetData>
    <row r="1" ht="13.75" customHeight="1">
      <c r="A1" s="19"/>
      <c r="B1" s="212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"/>
      <c r="W1" s="21"/>
      <c r="X1" s="21"/>
      <c r="Y1" s="22"/>
    </row>
    <row r="2" ht="13.75" customHeight="1">
      <c r="A2" s="23"/>
      <c r="B2" t="s" s="272">
        <v>244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8"/>
      <c r="W2" s="8"/>
      <c r="X2" s="8"/>
      <c r="Y2" s="25"/>
    </row>
    <row r="3" ht="13.75" customHeight="1">
      <c r="A3" s="23"/>
      <c r="B3" s="139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25"/>
    </row>
    <row r="4" ht="13" customHeight="1">
      <c r="A4" s="23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25"/>
    </row>
    <row r="5" ht="13.5" customHeight="1">
      <c r="A5" s="23"/>
      <c r="B5" s="410"/>
      <c r="C5" s="411"/>
      <c r="D5" s="412"/>
      <c r="E5" s="412"/>
      <c r="F5" s="412"/>
      <c r="G5" s="412"/>
      <c r="H5" s="410"/>
      <c r="I5" s="410"/>
      <c r="J5" s="410"/>
      <c r="K5" s="410"/>
      <c r="L5" s="410"/>
      <c r="M5" s="410"/>
      <c r="N5" s="410"/>
      <c r="O5" s="410"/>
      <c r="P5" s="217"/>
      <c r="Q5" s="217"/>
      <c r="R5" s="217"/>
      <c r="S5" s="217"/>
      <c r="T5" s="217"/>
      <c r="U5" s="8"/>
      <c r="V5" s="8"/>
      <c r="W5" s="8"/>
      <c r="X5" s="8"/>
      <c r="Y5" s="25"/>
    </row>
    <row r="6" ht="13.5" customHeight="1">
      <c r="A6" s="260"/>
      <c r="B6" t="s" s="346">
        <v>245</v>
      </c>
      <c r="C6" s="456"/>
      <c r="D6" t="s" s="220">
        <v>29</v>
      </c>
      <c r="E6" s="349"/>
      <c r="F6" s="350"/>
      <c r="G6" s="350"/>
      <c r="H6" s="350"/>
      <c r="I6" s="350"/>
      <c r="J6" s="350"/>
      <c r="K6" s="350"/>
      <c r="L6" s="350"/>
      <c r="M6" s="350"/>
      <c r="N6" s="350"/>
      <c r="O6" s="350"/>
      <c r="P6" s="350"/>
      <c r="Q6" s="350"/>
      <c r="R6" s="350"/>
      <c r="S6" s="350"/>
      <c r="T6" s="351"/>
      <c r="U6" s="264"/>
      <c r="V6" s="8"/>
      <c r="W6" s="8"/>
      <c r="X6" s="8"/>
      <c r="Y6" s="25"/>
    </row>
    <row r="7" ht="13.5" customHeight="1">
      <c r="A7" s="260"/>
      <c r="B7" s="457"/>
      <c r="C7" t="s" s="224">
        <v>113</v>
      </c>
      <c r="D7" t="s" s="225">
        <v>31</v>
      </c>
      <c r="E7" s="226">
        <v>43313</v>
      </c>
      <c r="F7" s="226">
        <v>43344</v>
      </c>
      <c r="G7" s="226">
        <v>43374</v>
      </c>
      <c r="H7" s="226">
        <v>43405</v>
      </c>
      <c r="I7" s="226">
        <v>43435</v>
      </c>
      <c r="J7" s="226">
        <v>43466</v>
      </c>
      <c r="K7" s="226">
        <v>43497</v>
      </c>
      <c r="L7" s="226">
        <v>43525</v>
      </c>
      <c r="M7" s="226">
        <v>43556</v>
      </c>
      <c r="N7" s="226">
        <v>43586</v>
      </c>
      <c r="O7" s="226">
        <v>43617</v>
      </c>
      <c r="P7" t="s" s="227">
        <v>114</v>
      </c>
      <c r="Q7" s="274">
        <v>43983</v>
      </c>
      <c r="R7" s="274">
        <v>44348</v>
      </c>
      <c r="S7" s="274">
        <v>44713</v>
      </c>
      <c r="T7" s="275">
        <v>45078</v>
      </c>
      <c r="U7" s="264"/>
      <c r="V7" s="8"/>
      <c r="W7" s="8"/>
      <c r="X7" s="8"/>
      <c r="Y7" s="25"/>
    </row>
    <row r="8" ht="14.25" customHeight="1">
      <c r="A8" s="260"/>
      <c r="B8" s="355"/>
      <c r="C8" s="413"/>
      <c r="D8" t="s" s="231">
        <v>115</v>
      </c>
      <c r="E8" t="s" s="231">
        <v>115</v>
      </c>
      <c r="F8" t="s" s="231">
        <v>115</v>
      </c>
      <c r="G8" t="s" s="231">
        <v>115</v>
      </c>
      <c r="H8" t="s" s="231">
        <v>115</v>
      </c>
      <c r="I8" t="s" s="231">
        <v>115</v>
      </c>
      <c r="J8" t="s" s="231">
        <v>115</v>
      </c>
      <c r="K8" t="s" s="231">
        <v>115</v>
      </c>
      <c r="L8" t="s" s="231">
        <v>115</v>
      </c>
      <c r="M8" t="s" s="231">
        <v>115</v>
      </c>
      <c r="N8" t="s" s="231">
        <v>115</v>
      </c>
      <c r="O8" t="s" s="231">
        <v>115</v>
      </c>
      <c r="P8" t="s" s="231">
        <v>115</v>
      </c>
      <c r="Q8" t="s" s="231">
        <v>115</v>
      </c>
      <c r="R8" t="s" s="231">
        <v>115</v>
      </c>
      <c r="S8" t="s" s="231">
        <v>115</v>
      </c>
      <c r="T8" t="s" s="357">
        <v>115</v>
      </c>
      <c r="U8" s="264"/>
      <c r="V8" s="8"/>
      <c r="W8" s="8"/>
      <c r="X8" s="8"/>
      <c r="Y8" s="25"/>
    </row>
    <row r="9" ht="13.75" customHeight="1">
      <c r="A9" s="260"/>
      <c r="B9" s="358"/>
      <c r="C9" s="416"/>
      <c r="D9" s="504"/>
      <c r="E9" s="504"/>
      <c r="F9" s="504"/>
      <c r="G9" s="504"/>
      <c r="H9" s="504"/>
      <c r="I9" s="504"/>
      <c r="J9" s="504"/>
      <c r="K9" s="504"/>
      <c r="L9" s="504"/>
      <c r="M9" s="504"/>
      <c r="N9" s="504"/>
      <c r="O9" s="504"/>
      <c r="P9" s="504"/>
      <c r="Q9" s="504"/>
      <c r="R9" s="504"/>
      <c r="S9" s="504"/>
      <c r="T9" s="505"/>
      <c r="U9" s="264"/>
      <c r="V9" s="8"/>
      <c r="W9" s="8"/>
      <c r="X9" s="8"/>
      <c r="Y9" s="25"/>
    </row>
    <row r="10" ht="13.75" customHeight="1">
      <c r="A10" s="260"/>
      <c r="B10" t="s" s="414">
        <v>246</v>
      </c>
      <c r="C10" s="416"/>
      <c r="D10" s="458"/>
      <c r="E10" s="458"/>
      <c r="F10" s="458"/>
      <c r="G10" s="458"/>
      <c r="H10" s="409"/>
      <c r="I10" s="409"/>
      <c r="J10" s="409"/>
      <c r="K10" s="409"/>
      <c r="L10" s="409"/>
      <c r="M10" s="409"/>
      <c r="N10" s="409"/>
      <c r="O10" s="409"/>
      <c r="P10" s="265"/>
      <c r="Q10" s="265"/>
      <c r="R10" s="265"/>
      <c r="S10" s="265"/>
      <c r="T10" s="459"/>
      <c r="U10" s="264"/>
      <c r="V10" s="8"/>
      <c r="W10" s="8"/>
      <c r="X10" s="8"/>
      <c r="Y10" s="25"/>
    </row>
    <row r="11" ht="13.75" customHeight="1">
      <c r="A11" s="260"/>
      <c r="B11" t="s" s="392">
        <v>247</v>
      </c>
      <c r="C11" s="506"/>
      <c r="D11" s="278">
        <f>C48</f>
        <v>875000</v>
      </c>
      <c r="E11" s="278">
        <f>D11</f>
        <v>875000</v>
      </c>
      <c r="F11" s="278">
        <f>E11</f>
        <v>875000</v>
      </c>
      <c r="G11" s="278">
        <f>F11</f>
        <v>875000</v>
      </c>
      <c r="H11" s="278">
        <f>G11</f>
        <v>875000</v>
      </c>
      <c r="I11" s="278">
        <f>H11</f>
        <v>875000</v>
      </c>
      <c r="J11" s="278">
        <f>I11</f>
        <v>875000</v>
      </c>
      <c r="K11" s="278">
        <f>J11</f>
        <v>875000</v>
      </c>
      <c r="L11" s="278">
        <f>K11</f>
        <v>875000</v>
      </c>
      <c r="M11" s="278">
        <f>L11</f>
        <v>875000</v>
      </c>
      <c r="N11" s="278">
        <f>M11</f>
        <v>875000</v>
      </c>
      <c r="O11" s="278">
        <f>N11</f>
        <v>875000</v>
      </c>
      <c r="P11" s="278">
        <f>O11</f>
        <v>875000</v>
      </c>
      <c r="Q11" s="278">
        <f>P11</f>
        <v>875000</v>
      </c>
      <c r="R11" s="278">
        <f>Q11</f>
        <v>875000</v>
      </c>
      <c r="S11" s="278">
        <f>R11</f>
        <v>875000</v>
      </c>
      <c r="T11" s="417">
        <f>S11</f>
        <v>875000</v>
      </c>
      <c r="U11" s="264"/>
      <c r="V11" s="8"/>
      <c r="W11" s="8"/>
      <c r="X11" s="8"/>
      <c r="Y11" s="25"/>
    </row>
    <row r="12" ht="13.75" customHeight="1">
      <c r="A12" s="260"/>
      <c r="B12" t="s" s="392">
        <v>248</v>
      </c>
      <c r="C12" s="507"/>
      <c r="D12" s="508">
        <f>C49</f>
        <v>250000</v>
      </c>
      <c r="E12" s="508">
        <f>D12</f>
        <v>250000</v>
      </c>
      <c r="F12" s="508">
        <f>E12</f>
        <v>250000</v>
      </c>
      <c r="G12" s="508">
        <f>F12</f>
        <v>250000</v>
      </c>
      <c r="H12" s="508">
        <f>G12</f>
        <v>250000</v>
      </c>
      <c r="I12" s="508">
        <f>H12</f>
        <v>250000</v>
      </c>
      <c r="J12" s="508">
        <f>I12</f>
        <v>250000</v>
      </c>
      <c r="K12" s="508">
        <f>J12</f>
        <v>250000</v>
      </c>
      <c r="L12" s="508">
        <f>K12</f>
        <v>250000</v>
      </c>
      <c r="M12" s="508">
        <f>L12</f>
        <v>250000</v>
      </c>
      <c r="N12" s="508">
        <f>M12</f>
        <v>250000</v>
      </c>
      <c r="O12" s="508">
        <f>N12</f>
        <v>250000</v>
      </c>
      <c r="P12" s="508">
        <f>O12</f>
        <v>250000</v>
      </c>
      <c r="Q12" s="508">
        <f>P12</f>
        <v>250000</v>
      </c>
      <c r="R12" s="508">
        <f>Q12</f>
        <v>250000</v>
      </c>
      <c r="S12" s="508">
        <f>R12</f>
        <v>250000</v>
      </c>
      <c r="T12" s="509">
        <f>S12</f>
        <v>250000</v>
      </c>
      <c r="U12" s="264"/>
      <c r="V12" s="8"/>
      <c r="W12" s="8"/>
      <c r="X12" s="8"/>
      <c r="Y12" s="25"/>
    </row>
    <row r="13" ht="13.75" customHeight="1">
      <c r="A13" s="260"/>
      <c r="B13" s="358"/>
      <c r="C13" s="507"/>
      <c r="D13" s="510">
        <f>SUM(D11:D12)</f>
        <v>1125000</v>
      </c>
      <c r="E13" s="510">
        <f>SUM(E11:E12)</f>
        <v>1125000</v>
      </c>
      <c r="F13" s="510">
        <f>SUM(F11:F12)</f>
        <v>1125000</v>
      </c>
      <c r="G13" s="510">
        <f>SUM(G11:G12)</f>
        <v>1125000</v>
      </c>
      <c r="H13" s="510">
        <f>SUM(H11:H12)</f>
        <v>1125000</v>
      </c>
      <c r="I13" s="510">
        <f>SUM(I11:I12)</f>
        <v>1125000</v>
      </c>
      <c r="J13" s="510">
        <f>SUM(J11:J12)</f>
        <v>1125000</v>
      </c>
      <c r="K13" s="510">
        <f>SUM(K11:K12)</f>
        <v>1125000</v>
      </c>
      <c r="L13" s="510">
        <f>SUM(L11:L12)</f>
        <v>1125000</v>
      </c>
      <c r="M13" s="510">
        <f>SUM(M11:M12)</f>
        <v>1125000</v>
      </c>
      <c r="N13" s="510">
        <f>SUM(N11:N12)</f>
        <v>1125000</v>
      </c>
      <c r="O13" s="510">
        <f>SUM(O11:O12)</f>
        <v>1125000</v>
      </c>
      <c r="P13" s="510">
        <f>SUM(P11:P12)</f>
        <v>1125000</v>
      </c>
      <c r="Q13" s="510">
        <f>SUM(Q11:Q12)</f>
        <v>1125000</v>
      </c>
      <c r="R13" s="510">
        <f>SUM(R11:R12)</f>
        <v>1125000</v>
      </c>
      <c r="S13" s="510">
        <f>SUM(S11:S12)</f>
        <v>1125000</v>
      </c>
      <c r="T13" s="511">
        <f>SUM(T11:T12)</f>
        <v>1125000</v>
      </c>
      <c r="U13" s="264"/>
      <c r="V13" s="8"/>
      <c r="W13" s="8"/>
      <c r="X13" s="8"/>
      <c r="Y13" s="25"/>
    </row>
    <row r="14" ht="13.75" customHeight="1">
      <c r="A14" s="260"/>
      <c r="B14" t="s" s="392">
        <v>249</v>
      </c>
      <c r="C14" s="512"/>
      <c r="D14" s="513">
        <f>D11</f>
        <v>875000</v>
      </c>
      <c r="E14" s="513">
        <f>E11</f>
        <v>875000</v>
      </c>
      <c r="F14" s="513">
        <f>F11</f>
        <v>875000</v>
      </c>
      <c r="G14" s="513">
        <f>G11</f>
        <v>875000</v>
      </c>
      <c r="H14" s="513">
        <f>H11</f>
        <v>875000</v>
      </c>
      <c r="I14" s="513">
        <f>I11</f>
        <v>875000</v>
      </c>
      <c r="J14" s="513">
        <f>J11</f>
        <v>875000</v>
      </c>
      <c r="K14" s="513">
        <f>K11</f>
        <v>875000</v>
      </c>
      <c r="L14" s="513">
        <f>L11</f>
        <v>875000</v>
      </c>
      <c r="M14" s="513">
        <f>M11</f>
        <v>875000</v>
      </c>
      <c r="N14" s="513">
        <f>N11</f>
        <v>875000</v>
      </c>
      <c r="O14" s="513">
        <f>O11</f>
        <v>875000</v>
      </c>
      <c r="P14" s="513">
        <f>P11</f>
        <v>875000</v>
      </c>
      <c r="Q14" s="513">
        <f>P14*(1+'Key Assumptions &amp; Drivers'!$D$89)</f>
        <v>892500</v>
      </c>
      <c r="R14" s="513">
        <f>Q14*(1+'Key Assumptions &amp; Drivers'!$D$89)</f>
        <v>910350</v>
      </c>
      <c r="S14" s="513">
        <f>R14*(1+'Key Assumptions &amp; Drivers'!$D$89)</f>
        <v>928557</v>
      </c>
      <c r="T14" s="514">
        <f>S14*(1+'Key Assumptions &amp; Drivers'!$D$89)</f>
        <v>947128.14</v>
      </c>
      <c r="U14" s="264"/>
      <c r="V14" s="8"/>
      <c r="W14" s="8"/>
      <c r="X14" s="8"/>
      <c r="Y14" s="25"/>
    </row>
    <row r="15" ht="13.75" customHeight="1">
      <c r="A15" s="260"/>
      <c r="B15" s="358"/>
      <c r="C15" s="506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78"/>
      <c r="O15" s="278"/>
      <c r="P15" s="278"/>
      <c r="Q15" s="278"/>
      <c r="R15" s="278"/>
      <c r="S15" s="278"/>
      <c r="T15" s="417"/>
      <c r="U15" s="264"/>
      <c r="V15" s="8"/>
      <c r="W15" s="8"/>
      <c r="X15" s="8"/>
      <c r="Y15" s="25"/>
    </row>
    <row r="16" ht="13.75" customHeight="1">
      <c r="A16" s="260"/>
      <c r="B16" t="s" s="392">
        <v>250</v>
      </c>
      <c r="C16" s="418"/>
      <c r="D16" s="278">
        <f>$C$50</f>
        <v>150000</v>
      </c>
      <c r="E16" s="278">
        <f>$C$50</f>
        <v>150000</v>
      </c>
      <c r="F16" s="278">
        <f>E16</f>
        <v>150000</v>
      </c>
      <c r="G16" s="278">
        <f>F16</f>
        <v>150000</v>
      </c>
      <c r="H16" s="278">
        <f>G16</f>
        <v>150000</v>
      </c>
      <c r="I16" s="278">
        <f>H16</f>
        <v>150000</v>
      </c>
      <c r="J16" s="278">
        <f>I16</f>
        <v>150000</v>
      </c>
      <c r="K16" s="278">
        <f>J16</f>
        <v>150000</v>
      </c>
      <c r="L16" s="278">
        <f>K16</f>
        <v>150000</v>
      </c>
      <c r="M16" s="278">
        <f>L16</f>
        <v>150000</v>
      </c>
      <c r="N16" s="278">
        <f>M16</f>
        <v>150000</v>
      </c>
      <c r="O16" s="278">
        <f>N16</f>
        <v>150000</v>
      </c>
      <c r="P16" s="278">
        <f>O16</f>
        <v>150000</v>
      </c>
      <c r="Q16" s="278">
        <f>P16</f>
        <v>150000</v>
      </c>
      <c r="R16" s="278">
        <f>Q16</f>
        <v>150000</v>
      </c>
      <c r="S16" s="278">
        <f>R16</f>
        <v>150000</v>
      </c>
      <c r="T16" s="417">
        <f>S16</f>
        <v>150000</v>
      </c>
      <c r="U16" s="264"/>
      <c r="V16" s="8"/>
      <c r="W16" s="8"/>
      <c r="X16" s="8"/>
      <c r="Y16" s="25"/>
    </row>
    <row r="17" ht="13.75" customHeight="1">
      <c r="A17" s="260"/>
      <c r="B17" t="s" s="392">
        <v>251</v>
      </c>
      <c r="C17" s="418"/>
      <c r="D17" s="278">
        <f>$C$51</f>
        <v>1200000</v>
      </c>
      <c r="E17" s="278">
        <f>$C$51</f>
        <v>1200000</v>
      </c>
      <c r="F17" s="278">
        <f>E17</f>
        <v>1200000</v>
      </c>
      <c r="G17" s="278">
        <f>F17</f>
        <v>1200000</v>
      </c>
      <c r="H17" s="278">
        <f>G17</f>
        <v>1200000</v>
      </c>
      <c r="I17" s="278">
        <f>H17</f>
        <v>1200000</v>
      </c>
      <c r="J17" s="278">
        <f>I17</f>
        <v>1200000</v>
      </c>
      <c r="K17" s="278">
        <f>J17</f>
        <v>1200000</v>
      </c>
      <c r="L17" s="278">
        <f>K17</f>
        <v>1200000</v>
      </c>
      <c r="M17" s="278">
        <f>L17</f>
        <v>1200000</v>
      </c>
      <c r="N17" s="278">
        <f>M17</f>
        <v>1200000</v>
      </c>
      <c r="O17" s="278">
        <f>N17</f>
        <v>1200000</v>
      </c>
      <c r="P17" s="278">
        <f>O17</f>
        <v>1200000</v>
      </c>
      <c r="Q17" s="278">
        <f>P17</f>
        <v>1200000</v>
      </c>
      <c r="R17" s="278">
        <f>Q17</f>
        <v>1200000</v>
      </c>
      <c r="S17" s="278">
        <f>R17</f>
        <v>1200000</v>
      </c>
      <c r="T17" s="417">
        <f>S17</f>
        <v>1200000</v>
      </c>
      <c r="U17" s="264"/>
      <c r="V17" s="8"/>
      <c r="W17" s="8"/>
      <c r="X17" s="8"/>
      <c r="Y17" s="25"/>
    </row>
    <row r="18" ht="13.75" customHeight="1">
      <c r="A18" s="260"/>
      <c r="B18" t="s" s="488">
        <v>252</v>
      </c>
      <c r="C18" s="8"/>
      <c r="D18" s="252">
        <f>C52</f>
        <v>1080000</v>
      </c>
      <c r="E18" s="278">
        <f>D18</f>
        <v>1080000</v>
      </c>
      <c r="F18" s="278">
        <f>E18</f>
        <v>1080000</v>
      </c>
      <c r="G18" s="278">
        <f>F18</f>
        <v>1080000</v>
      </c>
      <c r="H18" s="278">
        <f>G18</f>
        <v>1080000</v>
      </c>
      <c r="I18" s="278">
        <f>H18</f>
        <v>1080000</v>
      </c>
      <c r="J18" s="278">
        <f>I18</f>
        <v>1080000</v>
      </c>
      <c r="K18" s="278">
        <f>J18</f>
        <v>1080000</v>
      </c>
      <c r="L18" s="278">
        <f>K18</f>
        <v>1080000</v>
      </c>
      <c r="M18" s="278">
        <f>L18</f>
        <v>1080000</v>
      </c>
      <c r="N18" s="278">
        <f>M18</f>
        <v>1080000</v>
      </c>
      <c r="O18" s="278">
        <f>N18</f>
        <v>1080000</v>
      </c>
      <c r="P18" s="278">
        <f>O18</f>
        <v>1080000</v>
      </c>
      <c r="Q18" s="278">
        <f>P18</f>
        <v>1080000</v>
      </c>
      <c r="R18" s="278">
        <f>Q18</f>
        <v>1080000</v>
      </c>
      <c r="S18" s="278">
        <f>R18</f>
        <v>1080000</v>
      </c>
      <c r="T18" s="417">
        <f>S18</f>
        <v>1080000</v>
      </c>
      <c r="U18" s="264"/>
      <c r="V18" s="8"/>
      <c r="W18" s="8"/>
      <c r="X18" s="8"/>
      <c r="Y18" s="25"/>
    </row>
    <row r="19" ht="13.75" customHeight="1">
      <c r="A19" s="260"/>
      <c r="B19" t="s" s="488">
        <v>253</v>
      </c>
      <c r="C19" s="8"/>
      <c r="D19" s="252">
        <f>C53</f>
        <v>108000</v>
      </c>
      <c r="E19" s="278">
        <f>D19</f>
        <v>108000</v>
      </c>
      <c r="F19" s="278">
        <f>E19</f>
        <v>108000</v>
      </c>
      <c r="G19" s="278">
        <f>F19</f>
        <v>108000</v>
      </c>
      <c r="H19" s="278">
        <f>G19</f>
        <v>108000</v>
      </c>
      <c r="I19" s="278">
        <f>H19</f>
        <v>108000</v>
      </c>
      <c r="J19" s="278">
        <f>I19</f>
        <v>108000</v>
      </c>
      <c r="K19" s="278">
        <f>J19</f>
        <v>108000</v>
      </c>
      <c r="L19" s="278">
        <f>K19</f>
        <v>108000</v>
      </c>
      <c r="M19" s="278">
        <f>L19</f>
        <v>108000</v>
      </c>
      <c r="N19" s="278">
        <f>M19</f>
        <v>108000</v>
      </c>
      <c r="O19" s="278">
        <f>N19</f>
        <v>108000</v>
      </c>
      <c r="P19" s="278">
        <f>O19</f>
        <v>108000</v>
      </c>
      <c r="Q19" s="278">
        <f>P19</f>
        <v>108000</v>
      </c>
      <c r="R19" s="278">
        <f>Q19</f>
        <v>108000</v>
      </c>
      <c r="S19" s="278">
        <f>R19</f>
        <v>108000</v>
      </c>
      <c r="T19" s="417">
        <f>S19</f>
        <v>108000</v>
      </c>
      <c r="U19" s="264"/>
      <c r="V19" s="8"/>
      <c r="W19" s="8"/>
      <c r="X19" s="8"/>
      <c r="Y19" s="25"/>
    </row>
    <row r="20" ht="13.75" customHeight="1">
      <c r="A20" s="260"/>
      <c r="B20" s="264"/>
      <c r="C20" s="8"/>
      <c r="D20" s="515"/>
      <c r="E20" s="508">
        <f>D20</f>
        <v>0</v>
      </c>
      <c r="F20" s="508">
        <f>E20</f>
        <v>0</v>
      </c>
      <c r="G20" s="508">
        <f>F20</f>
        <v>0</v>
      </c>
      <c r="H20" s="508">
        <f>G20</f>
        <v>0</v>
      </c>
      <c r="I20" s="508">
        <f>H20</f>
        <v>0</v>
      </c>
      <c r="J20" s="508">
        <f>I20</f>
        <v>0</v>
      </c>
      <c r="K20" s="508">
        <f>J20</f>
        <v>0</v>
      </c>
      <c r="L20" s="508">
        <f>K20</f>
        <v>0</v>
      </c>
      <c r="M20" s="508">
        <f>L20</f>
        <v>0</v>
      </c>
      <c r="N20" s="508">
        <f>M20</f>
        <v>0</v>
      </c>
      <c r="O20" s="508">
        <f>N20</f>
        <v>0</v>
      </c>
      <c r="P20" s="508">
        <f>O20</f>
        <v>0</v>
      </c>
      <c r="Q20" s="508">
        <f>P20</f>
        <v>0</v>
      </c>
      <c r="R20" s="508">
        <f>Q20</f>
        <v>0</v>
      </c>
      <c r="S20" s="508">
        <f>R20</f>
        <v>0</v>
      </c>
      <c r="T20" s="509">
        <f>S20</f>
        <v>0</v>
      </c>
      <c r="U20" s="264"/>
      <c r="V20" s="8"/>
      <c r="W20" s="8"/>
      <c r="X20" s="8"/>
      <c r="Y20" s="25"/>
    </row>
    <row r="21" ht="13.75" customHeight="1">
      <c r="A21" s="260"/>
      <c r="B21" s="264"/>
      <c r="C21" s="8"/>
      <c r="D21" s="516">
        <f>SUM(D16:D20)</f>
        <v>2538000</v>
      </c>
      <c r="E21" s="516">
        <f>SUM(E16:E20)</f>
        <v>2538000</v>
      </c>
      <c r="F21" s="516">
        <f>SUM(F16:F20)</f>
        <v>2538000</v>
      </c>
      <c r="G21" s="516">
        <f>SUM(G16:G20)</f>
        <v>2538000</v>
      </c>
      <c r="H21" s="516">
        <f>SUM(H16:H20)</f>
        <v>2538000</v>
      </c>
      <c r="I21" s="516">
        <f>SUM(I16:I20)</f>
        <v>2538000</v>
      </c>
      <c r="J21" s="516">
        <f>SUM(J16:J20)</f>
        <v>2538000</v>
      </c>
      <c r="K21" s="516">
        <f>SUM(K16:K20)</f>
        <v>2538000</v>
      </c>
      <c r="L21" s="516">
        <f>SUM(L16:L20)</f>
        <v>2538000</v>
      </c>
      <c r="M21" s="516">
        <f>SUM(M16:M20)</f>
        <v>2538000</v>
      </c>
      <c r="N21" s="516">
        <f>SUM(N16:N20)</f>
        <v>2538000</v>
      </c>
      <c r="O21" s="516">
        <f>SUM(O16:O20)</f>
        <v>2538000</v>
      </c>
      <c r="P21" s="516">
        <f>SUM(P16:P20)</f>
        <v>2538000</v>
      </c>
      <c r="Q21" s="516">
        <f>SUM(Q16:Q20)</f>
        <v>2538000</v>
      </c>
      <c r="R21" s="516">
        <f>SUM(R16:R20)</f>
        <v>2538000</v>
      </c>
      <c r="S21" s="516">
        <f>SUM(S16:S20)</f>
        <v>2538000</v>
      </c>
      <c r="T21" s="517">
        <f>SUM(T16:T20)</f>
        <v>2538000</v>
      </c>
      <c r="U21" s="264"/>
      <c r="V21" s="8"/>
      <c r="W21" s="8"/>
      <c r="X21" s="8"/>
      <c r="Y21" s="25"/>
    </row>
    <row r="22" ht="13" customHeight="1">
      <c r="A22" s="260"/>
      <c r="B22" s="264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326"/>
      <c r="U22" s="264"/>
      <c r="V22" s="8"/>
      <c r="W22" s="8"/>
      <c r="X22" s="8"/>
      <c r="Y22" s="25"/>
    </row>
    <row r="23" ht="13.75" customHeight="1">
      <c r="A23" s="260"/>
      <c r="B23" s="264"/>
      <c r="C23" t="s" s="312">
        <v>254</v>
      </c>
      <c r="D23" s="252">
        <f>D21+D13</f>
        <v>3663000</v>
      </c>
      <c r="E23" s="252">
        <f>E21+E13</f>
        <v>3663000</v>
      </c>
      <c r="F23" s="252">
        <f>F21+F13</f>
        <v>3663000</v>
      </c>
      <c r="G23" s="252">
        <f>G21+G13</f>
        <v>3663000</v>
      </c>
      <c r="H23" s="252">
        <f>H21+H13</f>
        <v>3663000</v>
      </c>
      <c r="I23" s="252">
        <f>I21+I13</f>
        <v>3663000</v>
      </c>
      <c r="J23" s="252">
        <f>J21+J13</f>
        <v>3663000</v>
      </c>
      <c r="K23" s="252">
        <f>K21+K13</f>
        <v>3663000</v>
      </c>
      <c r="L23" s="252">
        <f>L21+L13</f>
        <v>3663000</v>
      </c>
      <c r="M23" s="252">
        <f>M21+M13</f>
        <v>3663000</v>
      </c>
      <c r="N23" s="252">
        <f>N21+N13</f>
        <v>3663000</v>
      </c>
      <c r="O23" s="252">
        <f>O21+O13</f>
        <v>3663000</v>
      </c>
      <c r="P23" s="252">
        <f>P21+P13</f>
        <v>3663000</v>
      </c>
      <c r="Q23" s="252">
        <f>Q21+Q13</f>
        <v>3663000</v>
      </c>
      <c r="R23" s="252">
        <f>R21+R13</f>
        <v>3663000</v>
      </c>
      <c r="S23" s="252">
        <f>S21+S13</f>
        <v>3663000</v>
      </c>
      <c r="T23" s="362">
        <f>T21+T13</f>
        <v>3663000</v>
      </c>
      <c r="U23" s="264"/>
      <c r="V23" s="8"/>
      <c r="W23" s="8"/>
      <c r="X23" s="8"/>
      <c r="Y23" s="25"/>
    </row>
    <row r="24" ht="13" customHeight="1">
      <c r="A24" s="260"/>
      <c r="B24" s="264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326"/>
      <c r="U24" s="264"/>
      <c r="V24" s="8"/>
      <c r="W24" s="8"/>
      <c r="X24" s="8"/>
      <c r="Y24" s="25"/>
    </row>
    <row r="25" ht="13.75" customHeight="1">
      <c r="A25" s="518"/>
      <c r="B25" t="s" s="359">
        <v>255</v>
      </c>
      <c r="C25" t="s" s="419">
        <v>256</v>
      </c>
      <c r="D25" s="278">
        <f>$C$26*'Summary P&amp;L'!D9</f>
        <v>0</v>
      </c>
      <c r="E25" s="278">
        <f>$C$26*'Summary P&amp;L'!E9</f>
        <v>2485.575897153050</v>
      </c>
      <c r="F25" s="278">
        <f>$C$26*'Summary P&amp;L'!F9</f>
        <v>2561.995317153050</v>
      </c>
      <c r="G25" s="278">
        <f>$C$26*'Summary P&amp;L'!G9</f>
        <v>2638.414737153050</v>
      </c>
      <c r="H25" s="278">
        <f>$C$26*'Summary P&amp;L'!H9</f>
        <v>2714.834157153050</v>
      </c>
      <c r="I25" s="278">
        <f>$C$26*'Summary P&amp;L'!I9</f>
        <v>2791.253577153050</v>
      </c>
      <c r="J25" s="278">
        <f>$C$26*'Summary P&amp;L'!J9</f>
        <v>2915.856126696120</v>
      </c>
      <c r="K25" s="278">
        <f>$C$26*'Summary P&amp;L'!K9</f>
        <v>2992.275546696120</v>
      </c>
      <c r="L25" s="278">
        <f>$C$26*'Summary P&amp;L'!L9</f>
        <v>3068.694966696120</v>
      </c>
      <c r="M25" s="278">
        <f>$C$26*'Summary P&amp;L'!M9</f>
        <v>3145.114386696120</v>
      </c>
      <c r="N25" s="278">
        <f>$C$26*'Summary P&amp;L'!N9</f>
        <v>3221.533806696120</v>
      </c>
      <c r="O25" s="278">
        <f>$C$26*'Summary P&amp;L'!O9</f>
        <v>3297.953226696120</v>
      </c>
      <c r="P25" s="278">
        <f>SUM(D25:O25)</f>
        <v>31833.501745942</v>
      </c>
      <c r="Q25" s="278">
        <f>$C$27*'Summary P&amp;L'!Q9</f>
        <v>82164.4665319206</v>
      </c>
      <c r="R25" s="278">
        <f>$C$27*'Summary P&amp;L'!R9</f>
        <v>85128.2834401596</v>
      </c>
      <c r="S25" s="278">
        <f>$C$27*'Summary P&amp;L'!S9</f>
        <v>88257.0188927706</v>
      </c>
      <c r="T25" s="417">
        <f>$C$27*'Summary P&amp;L'!T9</f>
        <v>91562.4226371384</v>
      </c>
      <c r="U25" s="264"/>
      <c r="V25" s="8"/>
      <c r="W25" s="8"/>
      <c r="X25" s="8"/>
      <c r="Y25" s="25"/>
    </row>
    <row r="26" ht="13.75" customHeight="1">
      <c r="A26" s="518"/>
      <c r="B26" t="s" s="519">
        <v>257</v>
      </c>
      <c r="C26" s="395">
        <f>'Key Assumptions &amp; Drivers'!$D$87</f>
        <v>0.03</v>
      </c>
      <c r="D26" s="278"/>
      <c r="E26" s="278"/>
      <c r="F26" s="278"/>
      <c r="G26" s="278"/>
      <c r="H26" s="278"/>
      <c r="I26" s="278"/>
      <c r="J26" s="278"/>
      <c r="K26" s="278"/>
      <c r="L26" s="278"/>
      <c r="M26" s="278"/>
      <c r="N26" s="278"/>
      <c r="O26" s="278"/>
      <c r="P26" s="278"/>
      <c r="Q26" s="278"/>
      <c r="R26" s="278"/>
      <c r="S26" s="278"/>
      <c r="T26" s="417"/>
      <c r="U26" s="264"/>
      <c r="V26" s="8"/>
      <c r="W26" s="8"/>
      <c r="X26" s="8"/>
      <c r="Y26" s="25"/>
    </row>
    <row r="27" ht="13.5" customHeight="1">
      <c r="A27" s="520"/>
      <c r="B27" t="s" s="521">
        <v>258</v>
      </c>
      <c r="C27" s="522">
        <f>'Key Assumptions &amp; Drivers'!$D$88</f>
        <v>0.06</v>
      </c>
      <c r="D27" s="217"/>
      <c r="E27" s="217"/>
      <c r="F27" s="217"/>
      <c r="G27" s="217"/>
      <c r="H27" s="217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501"/>
      <c r="U27" s="264"/>
      <c r="V27" s="8"/>
      <c r="W27" s="8"/>
      <c r="X27" s="8"/>
      <c r="Y27" s="25"/>
    </row>
    <row r="28" ht="13.5" customHeight="1">
      <c r="A28" s="260"/>
      <c r="B28" s="523"/>
      <c r="C28" t="s" s="524">
        <v>259</v>
      </c>
      <c r="D28" s="525">
        <f>D25+D23</f>
        <v>3663000</v>
      </c>
      <c r="E28" s="525">
        <f>E25+D28</f>
        <v>3665485.57589715</v>
      </c>
      <c r="F28" s="525">
        <f>F25+E28</f>
        <v>3668047.5712143</v>
      </c>
      <c r="G28" s="525">
        <f>G25+F28</f>
        <v>3670685.98595145</v>
      </c>
      <c r="H28" s="525">
        <f>H25+G28</f>
        <v>3673400.8201086</v>
      </c>
      <c r="I28" s="525">
        <f>I25+H28</f>
        <v>3676192.07368575</v>
      </c>
      <c r="J28" s="525">
        <f>J25+I28</f>
        <v>3679107.92981245</v>
      </c>
      <c r="K28" s="525">
        <f>K25+J28</f>
        <v>3682100.20535915</v>
      </c>
      <c r="L28" s="525">
        <f>L25+K28</f>
        <v>3685168.90032585</v>
      </c>
      <c r="M28" s="525">
        <f>M25+L28</f>
        <v>3688314.01471255</v>
      </c>
      <c r="N28" s="525">
        <f>N25+M28</f>
        <v>3691535.54851925</v>
      </c>
      <c r="O28" s="525">
        <f>O25+N28</f>
        <v>3694833.50174595</v>
      </c>
      <c r="P28" s="525">
        <f>P23+P25</f>
        <v>3694833.50174594</v>
      </c>
      <c r="Q28" s="525">
        <f>Q25+P28</f>
        <v>3776997.96827786</v>
      </c>
      <c r="R28" s="525">
        <f>R25+Q28</f>
        <v>3862126.25171802</v>
      </c>
      <c r="S28" s="525">
        <f>S25+R28</f>
        <v>3950383.27061079</v>
      </c>
      <c r="T28" s="526">
        <f>T25+S28</f>
        <v>4041945.69324793</v>
      </c>
      <c r="U28" s="264"/>
      <c r="V28" s="8"/>
      <c r="W28" s="8"/>
      <c r="X28" s="8"/>
      <c r="Y28" s="25"/>
    </row>
    <row r="29" ht="13.5" customHeight="1">
      <c r="A29" s="23"/>
      <c r="B29" s="350"/>
      <c r="C29" s="527"/>
      <c r="D29" s="528"/>
      <c r="E29" s="528"/>
      <c r="F29" s="528"/>
      <c r="G29" s="528"/>
      <c r="H29" s="528"/>
      <c r="I29" s="528"/>
      <c r="J29" s="528"/>
      <c r="K29" s="528"/>
      <c r="L29" s="528"/>
      <c r="M29" s="528"/>
      <c r="N29" s="528"/>
      <c r="O29" s="528"/>
      <c r="P29" s="528"/>
      <c r="Q29" s="528"/>
      <c r="R29" s="528"/>
      <c r="S29" s="528"/>
      <c r="T29" s="528"/>
      <c r="U29" s="8"/>
      <c r="V29" s="8"/>
      <c r="W29" s="8"/>
      <c r="X29" s="8"/>
      <c r="Y29" s="25"/>
    </row>
    <row r="30" ht="13.5" customHeight="1">
      <c r="A30" s="260"/>
      <c r="B30" t="s" s="529">
        <v>260</v>
      </c>
      <c r="C30" s="530">
        <f>'Key Assumptions &amp; Drivers'!$D$90</f>
        <v>0.015</v>
      </c>
      <c r="D30" s="525">
        <f>(D28-D11+D14)*$C$30/2</f>
        <v>27472.5</v>
      </c>
      <c r="E30" s="525">
        <f>(E28-E11+E14)*$C$30/12</f>
        <v>4581.856969871440</v>
      </c>
      <c r="F30" s="525">
        <f>(F28-F11+F14)*$C$30/12</f>
        <v>4585.059464017880</v>
      </c>
      <c r="G30" s="525">
        <f>(G28-G11+G14)*$C$30/12</f>
        <v>4588.357482439310</v>
      </c>
      <c r="H30" s="525">
        <f>(H28-H11+H14)*$C$30/12</f>
        <v>4591.751025135750</v>
      </c>
      <c r="I30" s="525">
        <f>(I28-I11+I14)*$C$30/12</f>
        <v>4595.240092107190</v>
      </c>
      <c r="J30" s="525">
        <f>(J28-J11+J14)*$C$30/12</f>
        <v>4598.884912265560</v>
      </c>
      <c r="K30" s="525">
        <f>(K28-K11+K14)*$C$30/12</f>
        <v>4602.625256698940</v>
      </c>
      <c r="L30" s="525">
        <f>(L28-L11+L14)*$C$30/12</f>
        <v>4606.461125407310</v>
      </c>
      <c r="M30" s="525">
        <f>(M28-M11+M14)*$C$30/12</f>
        <v>4610.392518390690</v>
      </c>
      <c r="N30" s="525">
        <f>(N28-N11+N14)*$C$30/12</f>
        <v>4614.419435649060</v>
      </c>
      <c r="O30" s="525">
        <f>(O28-O11+O14)*$C$30/12</f>
        <v>4618.541877182440</v>
      </c>
      <c r="P30" s="525">
        <f>(P28-P11+P14)*$C$30</f>
        <v>55422.5025261891</v>
      </c>
      <c r="Q30" s="525">
        <f>(Q28-Q11+Q14)*$C$30</f>
        <v>56917.4695241679</v>
      </c>
      <c r="R30" s="525">
        <f>(R28-R11+R14)*$C$30</f>
        <v>58462.1437757703</v>
      </c>
      <c r="S30" s="525">
        <f>(S28-S11+S14)*$C$30</f>
        <v>60059.1040591619</v>
      </c>
      <c r="T30" s="526">
        <f>(T28-T11+T14)*$C$30</f>
        <v>61711.107498719</v>
      </c>
      <c r="U30" s="264"/>
      <c r="V30" s="8"/>
      <c r="W30" s="8"/>
      <c r="X30" s="8"/>
      <c r="Y30" s="25"/>
    </row>
    <row r="31" ht="13.5" customHeight="1">
      <c r="A31" s="23"/>
      <c r="B31" s="350"/>
      <c r="C31" s="350"/>
      <c r="D31" s="350"/>
      <c r="E31" s="350"/>
      <c r="F31" s="350"/>
      <c r="G31" s="350"/>
      <c r="H31" s="350"/>
      <c r="I31" s="350"/>
      <c r="J31" s="350"/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8"/>
      <c r="V31" s="8"/>
      <c r="W31" s="8"/>
      <c r="X31" s="8"/>
      <c r="Y31" s="25"/>
    </row>
    <row r="32" ht="14.25" customHeight="1">
      <c r="A32" s="260"/>
      <c r="B32" t="s" s="531">
        <v>261</v>
      </c>
      <c r="C32" s="532"/>
      <c r="D32" s="267"/>
      <c r="E32" s="267"/>
      <c r="F32" s="267"/>
      <c r="G32" s="267"/>
      <c r="H32" s="267"/>
      <c r="I32" s="267"/>
      <c r="J32" s="267"/>
      <c r="K32" s="267"/>
      <c r="L32" s="267"/>
      <c r="M32" s="267"/>
      <c r="N32" s="267"/>
      <c r="O32" s="267"/>
      <c r="P32" s="267"/>
      <c r="Q32" s="267"/>
      <c r="R32" s="267"/>
      <c r="S32" s="267"/>
      <c r="T32" s="441"/>
      <c r="U32" s="264"/>
      <c r="V32" s="8"/>
      <c r="W32" s="8"/>
      <c r="X32" s="8"/>
      <c r="Y32" s="25"/>
    </row>
    <row r="33" ht="13.75" customHeight="1">
      <c r="A33" s="260"/>
      <c r="B33" t="s" s="488">
        <v>55</v>
      </c>
      <c r="C33" s="252"/>
      <c r="D33" s="252">
        <f>D13</f>
        <v>1125000</v>
      </c>
      <c r="E33" s="252">
        <f>E13</f>
        <v>1125000</v>
      </c>
      <c r="F33" s="252">
        <f>F13</f>
        <v>1125000</v>
      </c>
      <c r="G33" s="252">
        <f>G13</f>
        <v>1125000</v>
      </c>
      <c r="H33" s="252">
        <f>H13</f>
        <v>1125000</v>
      </c>
      <c r="I33" s="252">
        <f>I13</f>
        <v>1125000</v>
      </c>
      <c r="J33" s="252">
        <f>J13</f>
        <v>1125000</v>
      </c>
      <c r="K33" s="252">
        <f>K13</f>
        <v>1125000</v>
      </c>
      <c r="L33" s="252">
        <f>L13</f>
        <v>1125000</v>
      </c>
      <c r="M33" s="252">
        <f>M13</f>
        <v>1125000</v>
      </c>
      <c r="N33" s="252">
        <f>N13</f>
        <v>1125000</v>
      </c>
      <c r="O33" s="252">
        <f>O13</f>
        <v>1125000</v>
      </c>
      <c r="P33" s="252">
        <f>P13</f>
        <v>1125000</v>
      </c>
      <c r="Q33" s="252">
        <f>Q13</f>
        <v>1125000</v>
      </c>
      <c r="R33" s="252">
        <f>R13</f>
        <v>1125000</v>
      </c>
      <c r="S33" s="252">
        <f>S13</f>
        <v>1125000</v>
      </c>
      <c r="T33" s="362">
        <f>T13</f>
        <v>1125000</v>
      </c>
      <c r="U33" s="533">
        <f>U13</f>
        <v>0</v>
      </c>
      <c r="V33" t="s" s="256">
        <v>166</v>
      </c>
      <c r="W33" s="8"/>
      <c r="X33" s="8"/>
      <c r="Y33" s="25"/>
    </row>
    <row r="34" ht="13.75" customHeight="1">
      <c r="A34" s="260"/>
      <c r="B34" t="s" s="488">
        <v>262</v>
      </c>
      <c r="C34" s="252"/>
      <c r="D34" s="252">
        <f>D21-D17</f>
        <v>1338000</v>
      </c>
      <c r="E34" s="252">
        <f>E21-E17</f>
        <v>1338000</v>
      </c>
      <c r="F34" s="252">
        <f>F21-F17</f>
        <v>1338000</v>
      </c>
      <c r="G34" s="252">
        <f>G21-G17</f>
        <v>1338000</v>
      </c>
      <c r="H34" s="252">
        <f>H21-H17</f>
        <v>1338000</v>
      </c>
      <c r="I34" s="252">
        <f>I21-I17</f>
        <v>1338000</v>
      </c>
      <c r="J34" s="252">
        <f>J21-J17</f>
        <v>1338000</v>
      </c>
      <c r="K34" s="252">
        <f>K21-K17</f>
        <v>1338000</v>
      </c>
      <c r="L34" s="252">
        <f>L21-L17</f>
        <v>1338000</v>
      </c>
      <c r="M34" s="252">
        <f>M21-M17</f>
        <v>1338000</v>
      </c>
      <c r="N34" s="252">
        <f>N21-N17</f>
        <v>1338000</v>
      </c>
      <c r="O34" s="252">
        <f>O21-O17</f>
        <v>1338000</v>
      </c>
      <c r="P34" s="252">
        <f>P21-P17</f>
        <v>1338000</v>
      </c>
      <c r="Q34" s="252">
        <f>Q21-Q17</f>
        <v>1338000</v>
      </c>
      <c r="R34" s="252">
        <f>R21-R17</f>
        <v>1338000</v>
      </c>
      <c r="S34" s="252">
        <f>S21-S17</f>
        <v>1338000</v>
      </c>
      <c r="T34" s="362">
        <f>T21-T17</f>
        <v>1338000</v>
      </c>
      <c r="U34" s="533">
        <f>U21-U17</f>
        <v>0</v>
      </c>
      <c r="V34" t="s" s="256">
        <v>166</v>
      </c>
      <c r="W34" s="8"/>
      <c r="X34" s="8"/>
      <c r="Y34" s="25"/>
    </row>
    <row r="35" ht="13.75" customHeight="1">
      <c r="A35" s="260"/>
      <c r="B35" t="s" s="488">
        <v>58</v>
      </c>
      <c r="C35" s="252"/>
      <c r="D35" s="252">
        <f>D17+D25</f>
        <v>1200000</v>
      </c>
      <c r="E35" s="252">
        <f>E17+E25</f>
        <v>1202485.57589715</v>
      </c>
      <c r="F35" s="252">
        <f>F17+F25</f>
        <v>1202561.99531715</v>
      </c>
      <c r="G35" s="252">
        <f>G17+G25</f>
        <v>1202638.41473715</v>
      </c>
      <c r="H35" s="252">
        <f>H17+H25</f>
        <v>1202714.83415715</v>
      </c>
      <c r="I35" s="252">
        <f>I17+I25</f>
        <v>1202791.25357715</v>
      </c>
      <c r="J35" s="252">
        <f>J17+J25</f>
        <v>1202915.8561267</v>
      </c>
      <c r="K35" s="252">
        <f>K17+K25</f>
        <v>1202992.2755467</v>
      </c>
      <c r="L35" s="252">
        <f>L17+L25</f>
        <v>1203068.6949667</v>
      </c>
      <c r="M35" s="252">
        <f>M17+M25</f>
        <v>1203145.1143867</v>
      </c>
      <c r="N35" s="252">
        <f>N17+N25</f>
        <v>1203221.5338067</v>
      </c>
      <c r="O35" s="252">
        <f>O17+O25</f>
        <v>1203297.9532267</v>
      </c>
      <c r="P35" s="252">
        <f>P17+P25</f>
        <v>1231833.50174594</v>
      </c>
      <c r="Q35" s="252">
        <f>Q17+Q25</f>
        <v>1282164.46653192</v>
      </c>
      <c r="R35" s="252">
        <f>R17+R25</f>
        <v>1285128.28344016</v>
      </c>
      <c r="S35" s="252">
        <f>S17+S25</f>
        <v>1288257.01889277</v>
      </c>
      <c r="T35" s="362">
        <f>T17+T25</f>
        <v>1291562.42263714</v>
      </c>
      <c r="U35" s="533">
        <f>U17+U25</f>
        <v>0</v>
      </c>
      <c r="V35" t="s" s="256">
        <v>166</v>
      </c>
      <c r="W35" s="8"/>
      <c r="X35" s="8"/>
      <c r="Y35" s="25"/>
    </row>
    <row r="36" ht="13.75" customHeight="1">
      <c r="A36" s="260"/>
      <c r="B36" s="264"/>
      <c r="C36" s="252"/>
      <c r="D36" s="252"/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252"/>
      <c r="R36" s="252"/>
      <c r="S36" s="252"/>
      <c r="T36" s="362"/>
      <c r="U36" s="264"/>
      <c r="V36" s="8"/>
      <c r="W36" s="8"/>
      <c r="X36" s="8"/>
      <c r="Y36" s="25"/>
    </row>
    <row r="37" ht="13.75" customHeight="1">
      <c r="A37" s="260"/>
      <c r="B37" s="264"/>
      <c r="C37" t="s" s="312">
        <v>263</v>
      </c>
      <c r="D37" s="252">
        <f>D35+D34+D33</f>
        <v>3663000</v>
      </c>
      <c r="E37" s="252">
        <f>E35+E34+E33</f>
        <v>3665485.57589715</v>
      </c>
      <c r="F37" s="252">
        <f>F35+F34+F33</f>
        <v>3665561.99531715</v>
      </c>
      <c r="G37" s="252">
        <f>G35+G34+G33</f>
        <v>3665638.41473715</v>
      </c>
      <c r="H37" s="252">
        <f>H35+H34+H33</f>
        <v>3665714.83415715</v>
      </c>
      <c r="I37" s="252">
        <f>I35+I34+I33</f>
        <v>3665791.25357715</v>
      </c>
      <c r="J37" s="252">
        <f>J35+J34+J33</f>
        <v>3665915.8561267</v>
      </c>
      <c r="K37" s="252">
        <f>K35+K34+K33</f>
        <v>3665992.2755467</v>
      </c>
      <c r="L37" s="252">
        <f>L35+L34+L33</f>
        <v>3666068.6949667</v>
      </c>
      <c r="M37" s="252">
        <f>M35+M34+M33</f>
        <v>3666145.1143867</v>
      </c>
      <c r="N37" s="252">
        <f>N35+N34+N33</f>
        <v>3666221.5338067</v>
      </c>
      <c r="O37" s="252">
        <f>O35+O34+O33</f>
        <v>3666297.9532267</v>
      </c>
      <c r="P37" s="252">
        <f>P35+P34+P33</f>
        <v>3694833.50174594</v>
      </c>
      <c r="Q37" s="252">
        <f>Q35+Q34+Q33</f>
        <v>3745164.46653192</v>
      </c>
      <c r="R37" s="252">
        <f>R35+R34+R33</f>
        <v>3748128.28344016</v>
      </c>
      <c r="S37" s="252">
        <f>S35+S34+S33</f>
        <v>3751257.01889277</v>
      </c>
      <c r="T37" s="362">
        <f>T35+T34+T33</f>
        <v>3754562.42263714</v>
      </c>
      <c r="U37" s="533">
        <f>U35+U34+U33</f>
        <v>0</v>
      </c>
      <c r="V37" t="s" s="256">
        <v>166</v>
      </c>
      <c r="W37" s="8"/>
      <c r="X37" s="8"/>
      <c r="Y37" s="25"/>
    </row>
    <row r="38" ht="13.5" customHeight="1">
      <c r="A38" s="260"/>
      <c r="B38" s="500"/>
      <c r="C38" s="534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362"/>
      <c r="U38" s="533"/>
      <c r="V38" s="8"/>
      <c r="W38" s="8"/>
      <c r="X38" s="8"/>
      <c r="Y38" s="25"/>
    </row>
    <row r="39" ht="14.25" customHeight="1">
      <c r="A39" s="260"/>
      <c r="B39" t="s" s="531">
        <v>264</v>
      </c>
      <c r="C39" t="s" s="535">
        <v>265</v>
      </c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362"/>
      <c r="U39" s="264"/>
      <c r="V39" s="8"/>
      <c r="W39" s="8"/>
      <c r="X39" s="8"/>
      <c r="Y39" s="25"/>
    </row>
    <row r="40" ht="13.75" customHeight="1">
      <c r="A40" s="260"/>
      <c r="B40" t="s" s="488">
        <v>55</v>
      </c>
      <c r="C40" t="s" s="312">
        <f>'Key Assumptions &amp; Drivers'!$D$58</f>
        <v>266</v>
      </c>
      <c r="D40" s="252">
        <v>0</v>
      </c>
      <c r="E40" s="252">
        <v>0</v>
      </c>
      <c r="F40" s="252">
        <v>0</v>
      </c>
      <c r="G40" s="252">
        <v>0</v>
      </c>
      <c r="H40" s="252">
        <v>0</v>
      </c>
      <c r="I40" s="252">
        <v>0</v>
      </c>
      <c r="J40" s="252">
        <v>0</v>
      </c>
      <c r="K40" s="252">
        <v>0</v>
      </c>
      <c r="L40" s="252">
        <v>0</v>
      </c>
      <c r="M40" s="252">
        <v>0</v>
      </c>
      <c r="N40" s="252">
        <v>0</v>
      </c>
      <c r="O40" s="252">
        <v>0</v>
      </c>
      <c r="P40" s="252">
        <f>SUM(D40:O40)</f>
        <v>0</v>
      </c>
      <c r="Q40" s="252">
        <f>SUM(E40:P40)</f>
        <v>0</v>
      </c>
      <c r="R40" s="252">
        <f>SUM(F40:Q40)</f>
        <v>0</v>
      </c>
      <c r="S40" s="252">
        <f>SUM(G40:R40)</f>
        <v>0</v>
      </c>
      <c r="T40" s="362">
        <f>SUM(H40:S40)</f>
        <v>0</v>
      </c>
      <c r="U40" s="264"/>
      <c r="V40" s="8"/>
      <c r="W40" s="8"/>
      <c r="X40" s="8"/>
      <c r="Y40" s="25"/>
    </row>
    <row r="41" ht="13.75" customHeight="1">
      <c r="A41" s="260"/>
      <c r="B41" t="s" s="488">
        <v>262</v>
      </c>
      <c r="C41" s="534">
        <f>'Key Assumptions &amp; Drivers'!$D$59</f>
        <v>30</v>
      </c>
      <c r="D41" s="252">
        <f>D34/$C$41/12</f>
        <v>3716.666666666670</v>
      </c>
      <c r="E41" s="252">
        <f>E34/$C$41/12</f>
        <v>3716.666666666670</v>
      </c>
      <c r="F41" s="252">
        <f>F34/$C$41/12</f>
        <v>3716.666666666670</v>
      </c>
      <c r="G41" s="252">
        <f>G34/$C$41/12</f>
        <v>3716.666666666670</v>
      </c>
      <c r="H41" s="252">
        <f>H34/$C$41/12</f>
        <v>3716.666666666670</v>
      </c>
      <c r="I41" s="252">
        <f>I34/$C$41/12</f>
        <v>3716.666666666670</v>
      </c>
      <c r="J41" s="252">
        <f>J34/$C$41/12</f>
        <v>3716.666666666670</v>
      </c>
      <c r="K41" s="252">
        <f>K34/$C$41/12</f>
        <v>3716.666666666670</v>
      </c>
      <c r="L41" s="252">
        <f>L34/$C$41/12</f>
        <v>3716.666666666670</v>
      </c>
      <c r="M41" s="252">
        <f>M34/$C$41/12</f>
        <v>3716.666666666670</v>
      </c>
      <c r="N41" s="252">
        <f>N34/$C$41/12</f>
        <v>3716.666666666670</v>
      </c>
      <c r="O41" s="252">
        <f>O34/$C$41/12</f>
        <v>3716.666666666670</v>
      </c>
      <c r="P41" s="252">
        <f>SUM(D41:O41)</f>
        <v>44600</v>
      </c>
      <c r="Q41" s="252">
        <f>Q34/$C$41</f>
        <v>44600</v>
      </c>
      <c r="R41" s="252">
        <f>R34/$C$41</f>
        <v>44600</v>
      </c>
      <c r="S41" s="252">
        <f>S34/$C$41</f>
        <v>44600</v>
      </c>
      <c r="T41" s="362">
        <f>T34/$C$41</f>
        <v>44600</v>
      </c>
      <c r="U41" s="264"/>
      <c r="V41" s="8"/>
      <c r="W41" s="8"/>
      <c r="X41" s="8"/>
      <c r="Y41" s="25"/>
    </row>
    <row r="42" ht="13.5" customHeight="1">
      <c r="A42" s="260"/>
      <c r="B42" t="s" s="536">
        <v>58</v>
      </c>
      <c r="C42" s="537">
        <f>'Key Assumptions &amp; Drivers'!$D$60</f>
        <v>7</v>
      </c>
      <c r="D42" s="343">
        <f>D35/$C$42/12</f>
        <v>14285.7142857143</v>
      </c>
      <c r="E42" s="343">
        <f>E35/$C$42/12</f>
        <v>14315.3044749661</v>
      </c>
      <c r="F42" s="343">
        <f>F35/$C$42/12</f>
        <v>14316.2142299661</v>
      </c>
      <c r="G42" s="343">
        <f>G35/$C$42/12</f>
        <v>14317.1239849661</v>
      </c>
      <c r="H42" s="343">
        <f>H35/$C$42/12</f>
        <v>14318.0337399661</v>
      </c>
      <c r="I42" s="343">
        <f>I35/$C$42/12</f>
        <v>14318.9434949661</v>
      </c>
      <c r="J42" s="343">
        <f>J35/$C$42/12</f>
        <v>14320.4268586512</v>
      </c>
      <c r="K42" s="343">
        <f>K35/$C$42/12</f>
        <v>14321.3366136512</v>
      </c>
      <c r="L42" s="343">
        <f>L35/$C$42/12</f>
        <v>14322.2463686512</v>
      </c>
      <c r="M42" s="343">
        <f>M35/$C$42/12</f>
        <v>14323.1561236512</v>
      </c>
      <c r="N42" s="343">
        <f>N35/$C$42/12</f>
        <v>14324.0658786512</v>
      </c>
      <c r="O42" s="343">
        <f>O35/$C$42/12</f>
        <v>14324.9756336512</v>
      </c>
      <c r="P42" s="343">
        <f>SUM(D42:O42)</f>
        <v>171807.541687452</v>
      </c>
      <c r="Q42" s="343">
        <f>Q35/$C$42/1</f>
        <v>183166.352361703</v>
      </c>
      <c r="R42" s="343">
        <f>R35/$C$42/1</f>
        <v>183589.754777166</v>
      </c>
      <c r="S42" s="343">
        <f>S35/$C$42/1</f>
        <v>184036.716984681</v>
      </c>
      <c r="T42" s="538">
        <f>T35/$C$42/1</f>
        <v>184508.917519591</v>
      </c>
      <c r="U42" s="264"/>
      <c r="V42" s="8"/>
      <c r="W42" s="8"/>
      <c r="X42" s="8"/>
      <c r="Y42" s="25"/>
    </row>
    <row r="43" ht="13.5" customHeight="1">
      <c r="A43" s="260"/>
      <c r="B43" s="347"/>
      <c r="C43" t="s" s="539">
        <v>263</v>
      </c>
      <c r="D43" s="528">
        <f>SUM(D40:D42)</f>
        <v>18002.380952381</v>
      </c>
      <c r="E43" s="528">
        <f>SUM(E40:E42)</f>
        <v>18031.9711416328</v>
      </c>
      <c r="F43" s="528">
        <f>SUM(F40:F42)</f>
        <v>18032.8808966328</v>
      </c>
      <c r="G43" s="528">
        <f>SUM(G40:G42)</f>
        <v>18033.7906516328</v>
      </c>
      <c r="H43" s="528">
        <f>SUM(H40:H42)</f>
        <v>18034.7004066328</v>
      </c>
      <c r="I43" s="528">
        <f>SUM(I40:I42)</f>
        <v>18035.6101616328</v>
      </c>
      <c r="J43" s="528">
        <f>SUM(J40:J42)</f>
        <v>18037.0935253179</v>
      </c>
      <c r="K43" s="528">
        <f>SUM(K40:K42)</f>
        <v>18038.0032803179</v>
      </c>
      <c r="L43" s="528">
        <f>SUM(L40:L42)</f>
        <v>18038.9130353179</v>
      </c>
      <c r="M43" s="528">
        <f>SUM(M40:M42)</f>
        <v>18039.8227903179</v>
      </c>
      <c r="N43" s="528">
        <f>SUM(N40:N42)</f>
        <v>18040.7325453179</v>
      </c>
      <c r="O43" s="528">
        <f>SUM(O40:O42)</f>
        <v>18041.6423003179</v>
      </c>
      <c r="P43" s="528">
        <f>SUM(P40:P42)</f>
        <v>216407.541687452</v>
      </c>
      <c r="Q43" s="528">
        <f>SUM(Q40:Q42)</f>
        <v>227766.352361703</v>
      </c>
      <c r="R43" s="528">
        <f>SUM(R40:R42)</f>
        <v>228189.754777166</v>
      </c>
      <c r="S43" s="528">
        <f>SUM(S40:S42)</f>
        <v>228636.716984681</v>
      </c>
      <c r="T43" s="540">
        <f>SUM(T40:T42)</f>
        <v>229108.917519591</v>
      </c>
      <c r="U43" s="264"/>
      <c r="V43" s="8"/>
      <c r="W43" s="8"/>
      <c r="X43" s="8"/>
      <c r="Y43" s="25"/>
    </row>
    <row r="44" ht="13.5" customHeight="1">
      <c r="A44" s="260"/>
      <c r="B44" s="541"/>
      <c r="C44" t="s" s="542">
        <v>267</v>
      </c>
      <c r="D44" s="543">
        <f>D43</f>
        <v>18002.380952381</v>
      </c>
      <c r="E44" s="543">
        <f>E43+D44</f>
        <v>36034.3520940138</v>
      </c>
      <c r="F44" s="543">
        <f>F43+E44</f>
        <v>54067.2329906466</v>
      </c>
      <c r="G44" s="543">
        <f>G43+F44</f>
        <v>72101.0236422794</v>
      </c>
      <c r="H44" s="543">
        <f>H43+G44</f>
        <v>90135.724048912205</v>
      </c>
      <c r="I44" s="543">
        <f>I43+H44</f>
        <v>108171.334210545</v>
      </c>
      <c r="J44" s="543">
        <f>J43+I44</f>
        <v>126208.427735863</v>
      </c>
      <c r="K44" s="543">
        <f>K43+J44</f>
        <v>144246.431016181</v>
      </c>
      <c r="L44" s="543">
        <f>L43+K44</f>
        <v>162285.344051499</v>
      </c>
      <c r="M44" s="543">
        <f>M43+L44</f>
        <v>180325.166841817</v>
      </c>
      <c r="N44" s="543">
        <f>N43+M44</f>
        <v>198365.899387135</v>
      </c>
      <c r="O44" s="543">
        <f>O43+N44</f>
        <v>216407.541687453</v>
      </c>
      <c r="P44" s="543">
        <f>P43+0</f>
        <v>216407.541687452</v>
      </c>
      <c r="Q44" s="543">
        <f>Q43+P44</f>
        <v>444173.894049155</v>
      </c>
      <c r="R44" s="543">
        <f>R43+Q44</f>
        <v>672363.648826321</v>
      </c>
      <c r="S44" s="543">
        <f>S43+R44</f>
        <v>901000.365811002</v>
      </c>
      <c r="T44" s="544">
        <f>T43+S44</f>
        <v>1130109.28333059</v>
      </c>
      <c r="U44" s="264"/>
      <c r="V44" s="8"/>
      <c r="W44" s="8"/>
      <c r="X44" s="8"/>
      <c r="Y44" s="25"/>
    </row>
    <row r="45" ht="14.25" customHeight="1">
      <c r="A45" s="23"/>
      <c r="B45" s="267"/>
      <c r="C45" s="545"/>
      <c r="D45" s="267"/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8"/>
      <c r="V45" s="8"/>
      <c r="W45" s="8"/>
      <c r="X45" s="8"/>
      <c r="Y45" s="25"/>
    </row>
    <row r="46" ht="13.5" customHeight="1">
      <c r="A46" s="23"/>
      <c r="B46" s="217"/>
      <c r="C46" s="217"/>
      <c r="D46" s="21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25"/>
    </row>
    <row r="47" ht="14.25" customHeight="1">
      <c r="A47" s="260"/>
      <c r="B47" t="s" s="546">
        <v>268</v>
      </c>
      <c r="C47" s="547"/>
      <c r="D47" s="548"/>
      <c r="E47" s="264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25"/>
    </row>
    <row r="48" ht="13.75" customHeight="1">
      <c r="A48" s="260"/>
      <c r="B48" t="s" s="549">
        <v>269</v>
      </c>
      <c r="C48" s="550">
        <f>'Key Assumptions &amp; Drivers'!D80</f>
        <v>875000</v>
      </c>
      <c r="D48" s="551"/>
      <c r="E48" s="264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25"/>
    </row>
    <row r="49" ht="13.75" customHeight="1">
      <c r="A49" s="260"/>
      <c r="B49" t="s" s="549">
        <v>84</v>
      </c>
      <c r="C49" s="550">
        <f>'Key Assumptions &amp; Drivers'!D81</f>
        <v>250000</v>
      </c>
      <c r="D49" s="551"/>
      <c r="E49" s="264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25"/>
    </row>
    <row r="50" ht="26.25" customHeight="1">
      <c r="A50" s="260"/>
      <c r="B50" t="s" s="549">
        <v>270</v>
      </c>
      <c r="C50" s="550">
        <f>'Key Assumptions &amp; Drivers'!D82</f>
        <v>150000</v>
      </c>
      <c r="D50" s="551"/>
      <c r="E50" s="264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25"/>
    </row>
    <row r="51" ht="13.75" customHeight="1">
      <c r="A51" s="260"/>
      <c r="B51" t="s" s="549">
        <v>271</v>
      </c>
      <c r="C51" s="550">
        <f>'Key Assumptions &amp; Drivers'!D83</f>
        <v>1200000</v>
      </c>
      <c r="D51" s="551"/>
      <c r="E51" s="264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25"/>
    </row>
    <row r="52" ht="39.4" customHeight="1">
      <c r="A52" s="260"/>
      <c r="B52" t="s" s="549">
        <v>272</v>
      </c>
      <c r="C52" s="550">
        <f>'Key Assumptions &amp; Drivers'!D84</f>
        <v>1080000</v>
      </c>
      <c r="D52" s="551"/>
      <c r="E52" s="264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25"/>
    </row>
    <row r="53" ht="13.75" customHeight="1">
      <c r="A53" s="260"/>
      <c r="B53" t="s" s="549">
        <v>273</v>
      </c>
      <c r="C53" s="552">
        <f>C52*'Key Assumptions &amp; Drivers'!$D$85</f>
        <v>108000</v>
      </c>
      <c r="D53" s="553"/>
      <c r="E53" s="264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25"/>
    </row>
    <row r="54" ht="13.5" customHeight="1">
      <c r="A54" s="260"/>
      <c r="B54" t="s" s="554">
        <v>274</v>
      </c>
      <c r="C54" s="555">
        <f>SUM(C48:C53)</f>
        <v>3663000</v>
      </c>
      <c r="D54" s="556"/>
      <c r="E54" s="264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25"/>
    </row>
    <row r="55" ht="14.25" customHeight="1">
      <c r="A55" s="23"/>
      <c r="B55" s="440"/>
      <c r="C55" s="383"/>
      <c r="D55" s="440"/>
      <c r="E55" s="6"/>
      <c r="F55" s="6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25"/>
    </row>
    <row r="56" ht="13.75" customHeight="1">
      <c r="A56" s="23"/>
      <c r="B56" s="6"/>
      <c r="C56" s="6"/>
      <c r="D56" s="6"/>
      <c r="E56" s="6"/>
      <c r="F56" s="6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25"/>
    </row>
    <row r="57" ht="13.75" customHeight="1">
      <c r="A57" s="23"/>
      <c r="B57" s="6"/>
      <c r="C57" s="6"/>
      <c r="D57" s="6"/>
      <c r="E57" s="6"/>
      <c r="F57" s="6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25"/>
    </row>
    <row r="58" ht="13.75" customHeight="1">
      <c r="A58" s="23"/>
      <c r="B58" s="6"/>
      <c r="C58" s="6"/>
      <c r="D58" s="6"/>
      <c r="E58" s="6"/>
      <c r="F58" s="6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25"/>
    </row>
    <row r="59" ht="13.75" customHeight="1">
      <c r="A59" s="23"/>
      <c r="B59" s="6"/>
      <c r="C59" s="6"/>
      <c r="D59" s="6"/>
      <c r="E59" s="6"/>
      <c r="F59" s="6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25"/>
    </row>
    <row r="60" ht="13.75" customHeight="1">
      <c r="A60" s="205"/>
      <c r="B60" s="16"/>
      <c r="C60" s="16"/>
      <c r="D60" s="16"/>
      <c r="E60" s="16"/>
      <c r="F60" s="16"/>
      <c r="G60" s="16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10"/>
    </row>
  </sheetData>
  <conditionalFormatting sqref="D48:D52 D54 C55">
    <cfRule type="cellIs" dxfId="0" priority="1" operator="lessThan" stopIfTrue="1">
      <formula>0</formula>
    </cfRule>
  </conditionalFormatting>
  <pageMargins left="0" right="0" top="0.75" bottom="0.75" header="0.3" footer="0.3"/>
  <pageSetup firstPageNumber="1" fitToHeight="1" fitToWidth="1" scale="108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U499"/>
  <sheetViews>
    <sheetView workbookViewId="0" showGridLines="0" defaultGridColor="1"/>
  </sheetViews>
  <sheetFormatPr defaultColWidth="10.5" defaultRowHeight="13.15" customHeight="1" outlineLevelRow="0" outlineLevelCol="0"/>
  <cols>
    <col min="1" max="1" width="2.75" style="557" customWidth="1"/>
    <col min="2" max="2" width="7.25" style="557" customWidth="1"/>
    <col min="3" max="3" width="18.5" style="557" customWidth="1"/>
    <col min="4" max="4" width="25.5" style="557" customWidth="1"/>
    <col min="5" max="5" width="23.5" style="557" customWidth="1"/>
    <col min="6" max="9" width="17.5" style="557" customWidth="1"/>
    <col min="10" max="11" width="25.5" style="557" customWidth="1"/>
    <col min="12" max="13" width="14.75" style="557" customWidth="1"/>
    <col min="14" max="15" width="10.5" style="557" customWidth="1"/>
    <col min="16" max="16" width="12.75" style="557" customWidth="1"/>
    <col min="17" max="21" width="10.5" style="557" customWidth="1"/>
    <col min="22" max="16384" width="10.5" style="557" customWidth="1"/>
  </cols>
  <sheetData>
    <row r="1" ht="13.65" customHeight="1">
      <c r="A1" s="2"/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9"/>
    </row>
    <row r="2" ht="13.65" customHeight="1">
      <c r="A2" s="5"/>
      <c r="B2" t="s" s="560">
        <v>275</v>
      </c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2"/>
    </row>
    <row r="3" ht="13" customHeight="1">
      <c r="A3" s="5"/>
      <c r="B3" t="s" s="563">
        <v>276</v>
      </c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5"/>
    </row>
    <row r="4" ht="8" customHeight="1">
      <c r="A4" s="5"/>
      <c r="B4" s="566"/>
      <c r="C4" s="567"/>
      <c r="D4" s="567"/>
      <c r="E4" s="567"/>
      <c r="F4" s="567"/>
      <c r="G4" s="567"/>
      <c r="H4" s="567"/>
      <c r="I4" s="567"/>
      <c r="J4" s="567"/>
      <c r="K4" s="567"/>
      <c r="L4" s="6"/>
      <c r="M4" s="6"/>
      <c r="N4" s="6"/>
      <c r="O4" s="6"/>
      <c r="P4" s="6"/>
      <c r="Q4" s="6"/>
      <c r="R4" s="6"/>
      <c r="S4" s="6"/>
      <c r="T4" s="6"/>
      <c r="U4" s="7"/>
    </row>
    <row r="5" ht="20.25" customHeight="1">
      <c r="A5" s="5"/>
      <c r="B5" s="568"/>
      <c r="C5" s="569"/>
      <c r="D5" s="569"/>
      <c r="E5" s="569"/>
      <c r="F5" s="570"/>
      <c r="G5" s="570"/>
      <c r="H5" s="570"/>
      <c r="I5" s="569"/>
      <c r="J5" s="569"/>
      <c r="K5" s="569"/>
      <c r="L5" s="6"/>
      <c r="M5" s="6"/>
      <c r="N5" s="6"/>
      <c r="O5" s="6"/>
      <c r="P5" s="6"/>
      <c r="Q5" s="6"/>
      <c r="R5" s="6"/>
      <c r="S5" s="6"/>
      <c r="T5" s="6"/>
      <c r="U5" s="7"/>
    </row>
    <row r="6" ht="14.25" customHeight="1">
      <c r="A6" s="5"/>
      <c r="B6" s="571"/>
      <c r="C6" t="s" s="572">
        <v>277</v>
      </c>
      <c r="D6" s="573"/>
      <c r="E6" s="574"/>
      <c r="F6" s="575"/>
      <c r="G6" s="232"/>
      <c r="H6" s="576"/>
      <c r="I6" t="s" s="572">
        <v>278</v>
      </c>
      <c r="J6" s="573"/>
      <c r="K6" s="574"/>
      <c r="L6" s="577"/>
      <c r="M6" s="6"/>
      <c r="N6" s="6"/>
      <c r="O6" s="6"/>
      <c r="P6" s="6"/>
      <c r="Q6" s="6"/>
      <c r="R6" s="6"/>
      <c r="S6" s="6"/>
      <c r="T6" s="6"/>
      <c r="U6" s="7"/>
    </row>
    <row r="7" ht="13.75" customHeight="1">
      <c r="A7" s="5"/>
      <c r="B7" s="571"/>
      <c r="C7" s="578"/>
      <c r="D7" t="s" s="579">
        <v>279</v>
      </c>
      <c r="E7" s="580">
        <f>'Key Assumptions &amp; Drivers'!D98</f>
        <v>3110400</v>
      </c>
      <c r="F7" s="581"/>
      <c r="G7" s="232"/>
      <c r="H7" s="576"/>
      <c r="I7" s="578"/>
      <c r="J7" t="s" s="579">
        <v>280</v>
      </c>
      <c r="K7" s="582">
        <v>24114.8980934895</v>
      </c>
      <c r="L7" s="583"/>
      <c r="M7" s="6"/>
      <c r="N7" s="6"/>
      <c r="O7" s="6"/>
      <c r="P7" s="6"/>
      <c r="Q7" s="6"/>
      <c r="R7" s="6"/>
      <c r="S7" s="6"/>
      <c r="T7" s="6"/>
      <c r="U7" s="7"/>
    </row>
    <row r="8" ht="13.75" customHeight="1">
      <c r="A8" s="5"/>
      <c r="B8" s="571"/>
      <c r="C8" s="575"/>
      <c r="D8" t="s" s="584">
        <v>101</v>
      </c>
      <c r="E8" s="585">
        <f>'Key Assumptions &amp; Drivers'!D102</f>
        <v>0.07000000000000001</v>
      </c>
      <c r="F8" s="586"/>
      <c r="G8" s="232"/>
      <c r="H8" s="576"/>
      <c r="I8" s="575"/>
      <c r="J8" t="s" s="584">
        <v>281</v>
      </c>
      <c r="K8" s="587">
        <v>240</v>
      </c>
      <c r="L8" s="583"/>
      <c r="M8" s="6"/>
      <c r="N8" s="6"/>
      <c r="O8" s="6"/>
      <c r="P8" s="6"/>
      <c r="Q8" s="6"/>
      <c r="R8" s="6"/>
      <c r="S8" s="6"/>
      <c r="T8" s="6"/>
      <c r="U8" s="7"/>
    </row>
    <row r="9" ht="13.75" customHeight="1">
      <c r="A9" s="5"/>
      <c r="B9" s="571"/>
      <c r="C9" s="575"/>
      <c r="D9" t="s" s="584">
        <v>102</v>
      </c>
      <c r="E9" s="588">
        <f>'Key Assumptions &amp; Drivers'!D103</f>
        <v>20</v>
      </c>
      <c r="F9" s="586"/>
      <c r="G9" s="232"/>
      <c r="H9" s="576"/>
      <c r="I9" s="575"/>
      <c r="J9" t="s" s="584">
        <v>282</v>
      </c>
      <c r="K9" s="587">
        <v>240</v>
      </c>
      <c r="L9" s="583"/>
      <c r="M9" s="6"/>
      <c r="N9" s="6"/>
      <c r="O9" s="6"/>
      <c r="P9" s="6"/>
      <c r="Q9" s="6"/>
      <c r="R9" s="6"/>
      <c r="S9" s="6"/>
      <c r="T9" s="6"/>
      <c r="U9" s="7"/>
    </row>
    <row r="10" ht="13.75" customHeight="1">
      <c r="A10" s="5"/>
      <c r="B10" s="571"/>
      <c r="C10" s="575"/>
      <c r="D10" t="s" s="584">
        <v>103</v>
      </c>
      <c r="E10" s="588">
        <f>'Key Assumptions &amp; Drivers'!D104</f>
        <v>12</v>
      </c>
      <c r="F10" s="586"/>
      <c r="G10" s="232"/>
      <c r="H10" s="576"/>
      <c r="I10" s="575"/>
      <c r="J10" t="s" s="584">
        <v>283</v>
      </c>
      <c r="K10" s="589">
        <v>0</v>
      </c>
      <c r="L10" s="583"/>
      <c r="M10" s="6"/>
      <c r="N10" s="6"/>
      <c r="O10" s="6"/>
      <c r="P10" s="6"/>
      <c r="Q10" s="6"/>
      <c r="R10" s="6"/>
      <c r="S10" s="6"/>
      <c r="T10" s="6"/>
      <c r="U10" s="7"/>
    </row>
    <row r="11" ht="13.75" customHeight="1">
      <c r="A11" s="5"/>
      <c r="B11" s="571"/>
      <c r="C11" s="575"/>
      <c r="D11" t="s" s="584">
        <v>104</v>
      </c>
      <c r="E11" s="590">
        <f>'Key Assumptions &amp; Drivers'!D105</f>
        <v>45261</v>
      </c>
      <c r="F11" s="586"/>
      <c r="G11" s="232"/>
      <c r="H11" s="576"/>
      <c r="I11" s="591"/>
      <c r="J11" t="s" s="592">
        <v>284</v>
      </c>
      <c r="K11" s="582">
        <v>2677175.54243748</v>
      </c>
      <c r="L11" s="583"/>
      <c r="M11" s="6"/>
      <c r="N11" s="6"/>
      <c r="O11" s="6"/>
      <c r="P11" s="6"/>
      <c r="Q11" s="6"/>
      <c r="R11" s="6"/>
      <c r="S11" s="6"/>
      <c r="T11" s="6"/>
      <c r="U11" s="7"/>
    </row>
    <row r="12" ht="13.75" customHeight="1">
      <c r="A12" s="5"/>
      <c r="B12" s="571"/>
      <c r="C12" s="591"/>
      <c r="D12" t="s" s="592">
        <v>105</v>
      </c>
      <c r="E12" s="580">
        <f>'Key Assumptions &amp; Drivers'!D106</f>
        <v>0</v>
      </c>
      <c r="F12" s="586"/>
      <c r="G12" s="232"/>
      <c r="H12" s="232"/>
      <c r="I12" s="570"/>
      <c r="J12" s="570"/>
      <c r="K12" s="593"/>
      <c r="L12" s="6"/>
      <c r="M12" s="6"/>
      <c r="N12" s="6"/>
      <c r="O12" s="6"/>
      <c r="P12" s="6"/>
      <c r="Q12" s="6"/>
      <c r="R12" s="6"/>
      <c r="S12" s="6"/>
      <c r="T12" s="6"/>
      <c r="U12" s="7"/>
    </row>
    <row r="13" ht="13.75" customHeight="1">
      <c r="A13" s="5"/>
      <c r="B13" s="6"/>
      <c r="C13" s="570"/>
      <c r="D13" s="569"/>
      <c r="E13" s="594"/>
      <c r="F13" s="232"/>
      <c r="G13" s="232"/>
      <c r="H13" s="232"/>
      <c r="I13" s="232"/>
      <c r="J13" s="232"/>
      <c r="K13" s="232"/>
      <c r="L13" s="6"/>
      <c r="M13" s="6"/>
      <c r="N13" s="6"/>
      <c r="O13" s="6"/>
      <c r="P13" s="6"/>
      <c r="Q13" s="6"/>
      <c r="R13" s="6"/>
      <c r="S13" s="6"/>
      <c r="T13" s="6"/>
      <c r="U13" s="7"/>
    </row>
    <row r="14" ht="13.75" customHeight="1">
      <c r="A14" s="5"/>
      <c r="B14" s="6"/>
      <c r="C14" t="s" s="595">
        <v>285</v>
      </c>
      <c r="D14" t="s" s="596">
        <v>286</v>
      </c>
      <c r="E14" s="597"/>
      <c r="F14" s="598"/>
      <c r="G14" s="232"/>
      <c r="H14" s="232"/>
      <c r="I14" s="232"/>
      <c r="J14" s="232"/>
      <c r="K14" s="232"/>
      <c r="L14" s="6"/>
      <c r="M14" s="6"/>
      <c r="N14" s="6"/>
      <c r="O14" s="6"/>
      <c r="P14" s="6"/>
      <c r="Q14" s="6"/>
      <c r="R14" s="6"/>
      <c r="S14" s="6"/>
      <c r="T14" s="6"/>
      <c r="U14" s="7"/>
    </row>
    <row r="15" ht="13.75" customHeight="1">
      <c r="A15" s="5"/>
      <c r="B15" s="6"/>
      <c r="C15" s="599"/>
      <c r="D15" s="600"/>
      <c r="E15" s="600"/>
      <c r="F15" s="232"/>
      <c r="G15" s="232"/>
      <c r="H15" s="232"/>
      <c r="I15" s="232"/>
      <c r="J15" s="232"/>
      <c r="K15" s="232"/>
      <c r="L15" s="6"/>
      <c r="M15" s="6"/>
      <c r="N15" s="6"/>
      <c r="O15" s="6"/>
      <c r="P15" s="6"/>
      <c r="Q15" s="6"/>
      <c r="R15" s="6"/>
      <c r="S15" s="6"/>
      <c r="T15" s="6"/>
      <c r="U15" s="7"/>
    </row>
    <row r="16" ht="8" customHeight="1">
      <c r="A16" s="5"/>
      <c r="B16" s="566"/>
      <c r="C16" s="567"/>
      <c r="D16" s="567"/>
      <c r="E16" s="567"/>
      <c r="F16" s="567"/>
      <c r="G16" s="567"/>
      <c r="H16" s="567"/>
      <c r="I16" s="567"/>
      <c r="J16" s="567"/>
      <c r="K16" s="567"/>
      <c r="L16" s="6"/>
      <c r="M16" s="6"/>
      <c r="N16" s="6"/>
      <c r="O16" s="6"/>
      <c r="P16" s="6"/>
      <c r="Q16" s="6"/>
      <c r="R16" s="6"/>
      <c r="S16" s="6"/>
      <c r="T16" s="6"/>
      <c r="U16" s="7"/>
    </row>
    <row r="17" ht="8" customHeight="1">
      <c r="A17" s="5"/>
      <c r="B17" s="601"/>
      <c r="C17" s="602"/>
      <c r="D17" s="602"/>
      <c r="E17" s="602"/>
      <c r="F17" s="602"/>
      <c r="G17" s="602"/>
      <c r="H17" s="602"/>
      <c r="I17" s="602"/>
      <c r="J17" s="602"/>
      <c r="K17" s="602"/>
      <c r="L17" s="6"/>
      <c r="M17" s="6"/>
      <c r="N17" s="6"/>
      <c r="O17" s="6"/>
      <c r="P17" s="6"/>
      <c r="Q17" s="6"/>
      <c r="R17" s="6"/>
      <c r="S17" s="6"/>
      <c r="T17" s="6"/>
      <c r="U17" s="7"/>
    </row>
    <row r="18" ht="26.25" customHeight="1">
      <c r="A18" s="5"/>
      <c r="B18" t="s" s="603">
        <v>287</v>
      </c>
      <c r="C18" t="s" s="604">
        <v>288</v>
      </c>
      <c r="D18" t="s" s="604">
        <v>289</v>
      </c>
      <c r="E18" t="s" s="604">
        <v>290</v>
      </c>
      <c r="F18" t="s" s="604">
        <v>291</v>
      </c>
      <c r="G18" t="s" s="604">
        <v>292</v>
      </c>
      <c r="H18" t="s" s="604">
        <v>293</v>
      </c>
      <c r="I18" t="s" s="604">
        <v>132</v>
      </c>
      <c r="J18" t="s" s="604">
        <v>294</v>
      </c>
      <c r="K18" t="s" s="605">
        <v>295</v>
      </c>
      <c r="L18" t="s" s="236">
        <v>293</v>
      </c>
      <c r="M18" t="s" s="236">
        <v>132</v>
      </c>
      <c r="N18" t="s" s="236">
        <v>296</v>
      </c>
      <c r="O18" s="6"/>
      <c r="P18" s="6"/>
      <c r="Q18" s="6"/>
      <c r="R18" s="6"/>
      <c r="S18" s="6"/>
      <c r="T18" s="6"/>
      <c r="U18" s="7"/>
    </row>
    <row r="19" ht="8" customHeight="1">
      <c r="A19" s="5"/>
      <c r="B19" s="606"/>
      <c r="C19" s="607"/>
      <c r="D19" s="607"/>
      <c r="E19" s="607"/>
      <c r="F19" s="607"/>
      <c r="G19" s="607"/>
      <c r="H19" s="607"/>
      <c r="I19" s="607"/>
      <c r="J19" s="607"/>
      <c r="K19" s="607"/>
      <c r="L19" s="6"/>
      <c r="M19" s="6"/>
      <c r="N19" s="6"/>
      <c r="O19" s="6"/>
      <c r="P19" s="6"/>
      <c r="Q19" s="6"/>
      <c r="R19" s="6"/>
      <c r="S19" s="6"/>
      <c r="T19" s="6"/>
      <c r="U19" s="7"/>
    </row>
    <row r="20" ht="13.75" customHeight="1">
      <c r="A20" s="5"/>
      <c r="B20" s="608">
        <v>1</v>
      </c>
      <c r="C20" s="609">
        <f>IF($B$20:$B$499&lt;&gt;"",DATE(YEAR($E$11),MONTH($E$11)+($B$20:$B$499)*12/$E$10,DAY($E$11)),"")</f>
        <v>45292</v>
      </c>
      <c r="D20" s="610">
        <v>3110400</v>
      </c>
      <c r="E20" s="610">
        <f>IF($B$20:$B$499&lt;&gt;"",$K$7,"")</f>
        <v>24114.8980934895</v>
      </c>
      <c r="F20" s="610">
        <f>IF(AND($B$20:$B$499&lt;&gt;"",$E$20:$E$499+$E$12&lt;$D$20:$D$499),$E$12,IF(AND($B$20:$B$499&lt;&gt;"",$D$20:$D$499-$E$20:$E$499&gt;0),$D$20:$D$499-$E$20:$E$499,IF($B$20:$B$499&lt;&gt;"",0,"")))</f>
        <v>0</v>
      </c>
      <c r="G20" s="610">
        <f>IF(AND($B$20:$B$499&lt;&gt;"",$E$20:$E$499+$F$20:$F$499&lt;$D$20:$D$499),$E$20:$E$499+$F$20:$F$499,IF($B$20:$B$499&lt;&gt;"",$D$20:$D$499,""))</f>
        <v>24114.8980934895</v>
      </c>
      <c r="H20" s="610">
        <f>IF($B$20:$B$499&lt;&gt;"",$G$20:$G$499-$I$20:$I$499,"")</f>
        <v>5970.8980934895</v>
      </c>
      <c r="I20" s="610">
        <f>IF($B$20:$B$499&lt;&gt;"",$D$20:$D$499*($E$8/$E$10),"")</f>
        <v>18144</v>
      </c>
      <c r="J20" s="610">
        <f>IF(AND($B$20:$B$499&lt;&gt;"",$E$20:$E$499+$F$20:$F$499&lt;$D$20:$D$499),$D$20:$D$499-$H$20:$H$499,IF($B$20:$B$499&lt;&gt;"",0,""))</f>
        <v>3104429.10190651</v>
      </c>
      <c r="K20" s="610">
        <f>SUM($I$20:$I20)</f>
        <v>18144</v>
      </c>
      <c r="L20" s="371"/>
      <c r="M20" s="371"/>
      <c r="N20" s="611">
        <v>1</v>
      </c>
      <c r="O20" s="6"/>
      <c r="P20" s="6"/>
      <c r="Q20" s="6"/>
      <c r="R20" s="6"/>
      <c r="S20" s="6"/>
      <c r="T20" s="6"/>
      <c r="U20" s="7"/>
    </row>
    <row r="21" ht="12.75" customHeight="1">
      <c r="A21" s="5"/>
      <c r="B21" s="608">
        <v>2</v>
      </c>
      <c r="C21" s="609">
        <f>IF($B$20:$B$499&lt;&gt;"",DATE(YEAR($E$11),MONTH($E$11)+($B$20:$B$499)*12/$E$10,DAY($E$11)),"")</f>
        <v>45323</v>
      </c>
      <c r="D21" s="610">
        <f>IF($B$20:$B$499&lt;&gt;"",J20,"")</f>
        <v>3104429.10190651</v>
      </c>
      <c r="E21" s="610">
        <f>IF($B$20:$B$499&lt;&gt;"",$K$7,"")</f>
        <v>24114.8980934895</v>
      </c>
      <c r="F21" s="610">
        <f>IF(AND($B$20:$B$499&lt;&gt;"",$E$20:$E$499+$E$12&lt;$D$20:$D$499),$E$12,IF(AND($B$20:$B$499&lt;&gt;"",$D$20:$D$499-$E$20:$E$499&gt;0),$D$20:$D$499-$E$20:$E$499,IF($B$20:$B$499&lt;&gt;"",0,"")))</f>
        <v>0</v>
      </c>
      <c r="G21" s="610">
        <f>IF(AND($B$20:$B$499&lt;&gt;"",$E$20:$E$499+$F$20:$F$499&lt;$D$20:$D$499),$E$20:$E$499+$F$20:$F$499,IF($B$20:$B$499&lt;&gt;"",$D$20:$D$499,""))</f>
        <v>24114.8980934895</v>
      </c>
      <c r="H21" s="610">
        <f>IF($B$20:$B$499&lt;&gt;"",$G$20:$G$499-$I$20:$I$499,"")</f>
        <v>6005.7283323682</v>
      </c>
      <c r="I21" s="610">
        <f>IF($B$20:$B$499&lt;&gt;"",$D$20:$D$499*$E$8/$E$10,"")</f>
        <v>18109.1697611213</v>
      </c>
      <c r="J21" s="610">
        <f>IF(AND($B$20:$B$499&lt;&gt;"",$E$20:$E$499+$F$20:$F$499&lt;$D$20:$D$499),$D$20:$D$499-$H$20:$H$499,IF($B$20:$B$499&lt;&gt;"",0,""))</f>
        <v>3098423.37357414</v>
      </c>
      <c r="K21" s="610">
        <f>SUM($I$20:$I21)</f>
        <v>36253.1697611213</v>
      </c>
      <c r="L21" s="371"/>
      <c r="M21" s="371"/>
      <c r="N21" s="611">
        <v>2</v>
      </c>
      <c r="O21" s="6"/>
      <c r="P21" s="6"/>
      <c r="Q21" s="6"/>
      <c r="R21" s="6"/>
      <c r="S21" s="6"/>
      <c r="T21" s="6"/>
      <c r="U21" s="7"/>
    </row>
    <row r="22" ht="12.75" customHeight="1">
      <c r="A22" s="5"/>
      <c r="B22" s="608">
        <v>3</v>
      </c>
      <c r="C22" s="609">
        <f>IF($B$20:$B$499&lt;&gt;"",DATE(YEAR($E$11),MONTH($E$11)+($B$20:$B$499)*12/$E$10,DAY($E$11)),"")</f>
        <v>45352</v>
      </c>
      <c r="D22" s="610">
        <f>IF($B$20:$B$499&lt;&gt;"",J21,"")</f>
        <v>3098423.37357414</v>
      </c>
      <c r="E22" s="610">
        <f>IF($B$20:$B$499&lt;&gt;"",$K$7,"")</f>
        <v>24114.8980934895</v>
      </c>
      <c r="F22" s="610">
        <f>IF(AND($B$20:$B$499&lt;&gt;"",$E$20:$E$499+$E$12&lt;$D$20:$D$499),$E$12,IF(AND($B$20:$B$499&lt;&gt;"",$D$20:$D$499-$E$20:$E$499&gt;0),$D$20:$D$499-$E$20:$E$499,IF($B$20:$B$499&lt;&gt;"",0,"")))</f>
        <v>0</v>
      </c>
      <c r="G22" s="610">
        <f>IF(AND($B$20:$B$499&lt;&gt;"",$E$20:$E$499+$F$20:$F$499&lt;$D$20:$D$499),$E$20:$E$499+$F$20:$F$499,IF($B$20:$B$499&lt;&gt;"",$D$20:$D$499,""))</f>
        <v>24114.8980934895</v>
      </c>
      <c r="H22" s="610">
        <f>IF($B$20:$B$499&lt;&gt;"",$G$20:$G$499-$I$20:$I$499,"")</f>
        <v>6040.7617476403</v>
      </c>
      <c r="I22" s="610">
        <f>IF($B$20:$B$499&lt;&gt;"",$D$20:$D$499*$E$8/$E$10,"")</f>
        <v>18074.1363458492</v>
      </c>
      <c r="J22" s="610">
        <f>IF(AND($B$20:$B$499&lt;&gt;"",$E$20:$E$499+$F$20:$F$499&lt;$D$20:$D$499),$D$20:$D$499-$H$20:$H$499,IF($B$20:$B$499&lt;&gt;"",0,""))</f>
        <v>3092382.6118265</v>
      </c>
      <c r="K22" s="610">
        <f>SUM($I$20:$I22)</f>
        <v>54327.3061069705</v>
      </c>
      <c r="L22" s="371"/>
      <c r="M22" s="371"/>
      <c r="N22" s="611">
        <v>3</v>
      </c>
      <c r="O22" s="6"/>
      <c r="P22" s="6"/>
      <c r="Q22" s="6"/>
      <c r="R22" s="6"/>
      <c r="S22" s="6"/>
      <c r="T22" s="6"/>
      <c r="U22" s="7"/>
    </row>
    <row r="23" ht="13.75" customHeight="1">
      <c r="A23" s="5"/>
      <c r="B23" s="608">
        <v>4</v>
      </c>
      <c r="C23" s="609">
        <f>IF($B$20:$B$499&lt;&gt;"",DATE(YEAR($E$11),MONTH($E$11)+($B$20:$B$499)*12/$E$10,DAY($E$11)),"")</f>
        <v>45383</v>
      </c>
      <c r="D23" s="610">
        <f>IF($B$20:$B$499&lt;&gt;"",J22,"")</f>
        <v>3092382.6118265</v>
      </c>
      <c r="E23" s="610">
        <f>IF($B$20:$B$499&lt;&gt;"",$K$7,"")</f>
        <v>24114.8980934895</v>
      </c>
      <c r="F23" s="610">
        <f>IF(AND($B$20:$B$499&lt;&gt;"",$E$20:$E$499+$E$12&lt;$D$20:$D$499),$E$12,IF(AND($B$20:$B$499&lt;&gt;"",$D$20:$D$499-$E$20:$E$499&gt;0),$D$20:$D$499-$E$20:$E$499,IF($B$20:$B$499&lt;&gt;"",0,"")))</f>
        <v>0</v>
      </c>
      <c r="G23" s="610">
        <f>IF(AND($B$20:$B$499&lt;&gt;"",$E$20:$E$499+$F$20:$F$499&lt;$D$20:$D$499),$E$20:$E$499+$F$20:$F$499,IF($B$20:$B$499&lt;&gt;"",$D$20:$D$499,""))</f>
        <v>24114.8980934895</v>
      </c>
      <c r="H23" s="610">
        <f>IF($B$20:$B$499&lt;&gt;"",$G$20:$G$499-$I$20:$I$499,"")</f>
        <v>6075.9995245016</v>
      </c>
      <c r="I23" s="610">
        <f>IF($B$20:$B$499&lt;&gt;"",$D$20:$D$499*$E$8/$E$10,"")</f>
        <v>18038.8985689879</v>
      </c>
      <c r="J23" s="610">
        <f>IF(AND($B$20:$B$499&lt;&gt;"",$E$20:$E$499+$F$20:$F$499&lt;$D$20:$D$499),$D$20:$D$499-$H$20:$H$499,IF($B$20:$B$499&lt;&gt;"",0,""))</f>
        <v>3086306.612302</v>
      </c>
      <c r="K23" s="610">
        <f>SUM($I$20:$I23)</f>
        <v>72366.2046759584</v>
      </c>
      <c r="L23" s="371"/>
      <c r="M23" s="371"/>
      <c r="N23" s="611">
        <v>4</v>
      </c>
      <c r="O23" s="6"/>
      <c r="P23" s="6"/>
      <c r="Q23" s="6"/>
      <c r="R23" s="6"/>
      <c r="S23" s="6"/>
      <c r="T23" s="6"/>
      <c r="U23" s="7"/>
    </row>
    <row r="24" ht="13.75" customHeight="1">
      <c r="A24" s="5"/>
      <c r="B24" s="608">
        <v>5</v>
      </c>
      <c r="C24" s="609">
        <f>IF($B$20:$B$499&lt;&gt;"",DATE(YEAR($E$11),MONTH($E$11)+($B$20:$B$499)*12/$E$10,DAY($E$11)),"")</f>
        <v>45413</v>
      </c>
      <c r="D24" s="610">
        <f>IF($B$20:$B$499&lt;&gt;"",J23,"")</f>
        <v>3086306.612302</v>
      </c>
      <c r="E24" s="610">
        <f>IF($B$20:$B$499&lt;&gt;"",$K$7,"")</f>
        <v>24114.8980934895</v>
      </c>
      <c r="F24" s="610">
        <f>IF(AND($B$20:$B$499&lt;&gt;"",$E$20:$E$499+$E$12&lt;$D$20:$D$499),$E$12,IF(AND($B$20:$B$499&lt;&gt;"",$D$20:$D$499-$E$20:$E$499&gt;0),$D$20:$D$499-$E$20:$E$499,IF($B$20:$B$499&lt;&gt;"",0,"")))</f>
        <v>0</v>
      </c>
      <c r="G24" s="610">
        <f>IF(AND($B$20:$B$499&lt;&gt;"",$E$20:$E$499+$F$20:$F$499&lt;$D$20:$D$499),$E$20:$E$499+$F$20:$F$499,IF($B$20:$B$499&lt;&gt;"",$D$20:$D$499,""))</f>
        <v>24114.8980934895</v>
      </c>
      <c r="H24" s="610">
        <f>IF($B$20:$B$499&lt;&gt;"",$G$20:$G$499-$I$20:$I$499,"")</f>
        <v>6111.4428550612</v>
      </c>
      <c r="I24" s="610">
        <f>IF($B$20:$B$499&lt;&gt;"",$D$20:$D$499*$E$8/$E$10,"")</f>
        <v>18003.4552384283</v>
      </c>
      <c r="J24" s="610">
        <f>IF(AND($B$20:$B$499&lt;&gt;"",$E$20:$E$499+$F$20:$F$499&lt;$D$20:$D$499),$D$20:$D$499-$H$20:$H$499,IF($B$20:$B$499&lt;&gt;"",0,""))</f>
        <v>3080195.16944694</v>
      </c>
      <c r="K24" s="610">
        <f>SUM($I$20:$I24)</f>
        <v>90369.659914386706</v>
      </c>
      <c r="L24" s="371"/>
      <c r="M24" s="371"/>
      <c r="N24" s="611">
        <v>5</v>
      </c>
      <c r="O24" s="6"/>
      <c r="P24" s="6"/>
      <c r="Q24" s="6"/>
      <c r="R24" s="6"/>
      <c r="S24" s="6"/>
      <c r="T24" s="6"/>
      <c r="U24" s="7"/>
    </row>
    <row r="25" ht="13.75" customHeight="1">
      <c r="A25" s="5"/>
      <c r="B25" s="608">
        <v>6</v>
      </c>
      <c r="C25" s="609">
        <f>IF($B$20:$B$499&lt;&gt;"",DATE(YEAR($E$11),MONTH($E$11)+($B$20:$B$499)*12/$E$10,DAY($E$11)),"")</f>
        <v>45444</v>
      </c>
      <c r="D25" s="610">
        <f>IF($B$20:$B$499&lt;&gt;"",J24,"")</f>
        <v>3080195.16944694</v>
      </c>
      <c r="E25" s="610">
        <f>IF($B$20:$B$499&lt;&gt;"",$K$7,"")</f>
        <v>24114.8980934895</v>
      </c>
      <c r="F25" s="610">
        <f>IF(AND($B$20:$B$499&lt;&gt;"",$E$20:$E$499+$E$12&lt;$D$20:$D$499),$E$12,IF(AND($B$20:$B$499&lt;&gt;"",$D$20:$D$499-$E$20:$E$499&gt;0),$D$20:$D$499-$E$20:$E$499,IF($B$20:$B$499&lt;&gt;"",0,"")))</f>
        <v>0</v>
      </c>
      <c r="G25" s="610">
        <f>IF(AND($B$20:$B$499&lt;&gt;"",$E$20:$E$499+$F$20:$F$499&lt;$D$20:$D$499),$E$20:$E$499+$F$20:$F$499,IF($B$20:$B$499&lt;&gt;"",$D$20:$D$499,""))</f>
        <v>24114.8980934895</v>
      </c>
      <c r="H25" s="610">
        <f>IF($B$20:$B$499&lt;&gt;"",$G$20:$G$499-$I$20:$I$499,"")</f>
        <v>6147.0929383823</v>
      </c>
      <c r="I25" s="610">
        <f>IF($B$20:$B$499&lt;&gt;"",$D$20:$D$499*$E$8/$E$10,"")</f>
        <v>17967.8051551072</v>
      </c>
      <c r="J25" s="610">
        <f>IF(AND($B$20:$B$499&lt;&gt;"",$E$20:$E$499+$F$20:$F$499&lt;$D$20:$D$499),$D$20:$D$499-$H$20:$H$499,IF($B$20:$B$499&lt;&gt;"",0,""))</f>
        <v>3074048.07650856</v>
      </c>
      <c r="K25" s="610">
        <f>SUM($I$20:$I25)</f>
        <v>108337.465069494</v>
      </c>
      <c r="L25" s="371"/>
      <c r="M25" s="371"/>
      <c r="N25" s="611">
        <v>6</v>
      </c>
      <c r="O25" s="6"/>
      <c r="P25" s="6"/>
      <c r="Q25" s="6"/>
      <c r="R25" s="6"/>
      <c r="S25" s="6"/>
      <c r="T25" s="6"/>
      <c r="U25" s="7"/>
    </row>
    <row r="26" ht="13.75" customHeight="1">
      <c r="A26" s="5"/>
      <c r="B26" s="608">
        <v>7</v>
      </c>
      <c r="C26" s="609">
        <f>IF($B$20:$B$499&lt;&gt;"",DATE(YEAR($E$11),MONTH($E$11)+($B$20:$B$499)*12/$E$10,DAY($E$11)),"")</f>
        <v>45474</v>
      </c>
      <c r="D26" s="610">
        <f>IF($B$20:$B$499&lt;&gt;"",J25,"")</f>
        <v>3074048.07650856</v>
      </c>
      <c r="E26" s="610">
        <f>IF($B$20:$B$499&lt;&gt;"",$K$7,"")</f>
        <v>24114.8980934895</v>
      </c>
      <c r="F26" s="610">
        <f>IF(AND($B$20:$B$499&lt;&gt;"",$E$20:$E$499+$E$12&lt;$D$20:$D$499),$E$12,IF(AND($B$20:$B$499&lt;&gt;"",$D$20:$D$499-$E$20:$E$499&gt;0),$D$20:$D$499-$E$20:$E$499,IF($B$20:$B$499&lt;&gt;"",0,"")))</f>
        <v>0</v>
      </c>
      <c r="G26" s="610">
        <f>IF(AND($B$20:$B$499&lt;&gt;"",$E$20:$E$499+$F$20:$F$499&lt;$D$20:$D$499),$E$20:$E$499+$F$20:$F$499,IF($B$20:$B$499&lt;&gt;"",$D$20:$D$499,""))</f>
        <v>24114.8980934895</v>
      </c>
      <c r="H26" s="610">
        <f>IF($B$20:$B$499&lt;&gt;"",$G$20:$G$499-$I$20:$I$499,"")</f>
        <v>6182.9509805229</v>
      </c>
      <c r="I26" s="610">
        <f>IF($B$20:$B$499&lt;&gt;"",$D$20:$D$499*$E$8/$E$10,"")</f>
        <v>17931.9471129666</v>
      </c>
      <c r="J26" s="610">
        <f>IF(AND($B$20:$B$499&lt;&gt;"",$E$20:$E$499+$F$20:$F$499&lt;$D$20:$D$499),$D$20:$D$499-$H$20:$H$499,IF($B$20:$B$499&lt;&gt;"",0,""))</f>
        <v>3067865.12552804</v>
      </c>
      <c r="K26" s="610">
        <f>SUM($I$20:$I26)</f>
        <v>126269.412182461</v>
      </c>
      <c r="L26" s="371"/>
      <c r="M26" s="371"/>
      <c r="N26" s="611">
        <v>7</v>
      </c>
      <c r="O26" s="6"/>
      <c r="P26" s="6"/>
      <c r="Q26" s="6"/>
      <c r="R26" s="6"/>
      <c r="S26" s="6"/>
      <c r="T26" s="6"/>
      <c r="U26" s="7"/>
    </row>
    <row r="27" ht="13.75" customHeight="1">
      <c r="A27" s="5"/>
      <c r="B27" s="608">
        <v>8</v>
      </c>
      <c r="C27" s="609">
        <f>IF($B$20:$B$499&lt;&gt;"",DATE(YEAR($E$11),MONTH($E$11)+($B$20:$B$499)*12/$E$10,DAY($E$11)),"")</f>
        <v>45505</v>
      </c>
      <c r="D27" s="610">
        <f>IF($B$20:$B$499&lt;&gt;"",J26,"")</f>
        <v>3067865.12552804</v>
      </c>
      <c r="E27" s="610">
        <f>IF($B$20:$B$499&lt;&gt;"",$K$7,"")</f>
        <v>24114.8980934895</v>
      </c>
      <c r="F27" s="610">
        <f>IF(AND($B$20:$B$499&lt;&gt;"",$E$20:$E$499+$E$12&lt;$D$20:$D$499),$E$12,IF(AND($B$20:$B$499&lt;&gt;"",$D$20:$D$499-$E$20:$E$499&gt;0),$D$20:$D$499-$E$20:$E$499,IF($B$20:$B$499&lt;&gt;"",0,"")))</f>
        <v>0</v>
      </c>
      <c r="G27" s="610">
        <f>IF(AND($B$20:$B$499&lt;&gt;"",$E$20:$E$499+$F$20:$F$499&lt;$D$20:$D$499),$E$20:$E$499+$F$20:$F$499,IF($B$20:$B$499&lt;&gt;"",$D$20:$D$499,""))</f>
        <v>24114.8980934895</v>
      </c>
      <c r="H27" s="610">
        <f>IF($B$20:$B$499&lt;&gt;"",$G$20:$G$499-$I$20:$I$499,"")</f>
        <v>6219.0181945759</v>
      </c>
      <c r="I27" s="610">
        <f>IF($B$20:$B$499&lt;&gt;"",$D$20:$D$499*$E$8/$E$10,"")</f>
        <v>17895.8798989136</v>
      </c>
      <c r="J27" s="610">
        <f>IF(AND($B$20:$B$499&lt;&gt;"",$E$20:$E$499+$F$20:$F$499&lt;$D$20:$D$499),$D$20:$D$499-$H$20:$H$499,IF($B$20:$B$499&lt;&gt;"",0,""))</f>
        <v>3061646.10733346</v>
      </c>
      <c r="K27" s="610">
        <f>SUM($I$20:$I27)</f>
        <v>144165.292081374</v>
      </c>
      <c r="L27" s="371"/>
      <c r="M27" s="371"/>
      <c r="N27" s="611">
        <v>8</v>
      </c>
      <c r="O27" s="6"/>
      <c r="P27" s="6"/>
      <c r="Q27" s="6"/>
      <c r="R27" s="6"/>
      <c r="S27" s="6"/>
      <c r="T27" s="6"/>
      <c r="U27" s="7"/>
    </row>
    <row r="28" ht="13.75" customHeight="1">
      <c r="A28" s="5"/>
      <c r="B28" s="608">
        <v>9</v>
      </c>
      <c r="C28" s="609">
        <f>IF($B$20:$B$499&lt;&gt;"",DATE(YEAR($E$11),MONTH($E$11)+($B$20:$B$499)*12/$E$10,DAY($E$11)),"")</f>
        <v>45536</v>
      </c>
      <c r="D28" s="610">
        <f>IF($B$20:$B$499&lt;&gt;"",J27,"")</f>
        <v>3061646.10733346</v>
      </c>
      <c r="E28" s="610">
        <f>IF($B$20:$B$499&lt;&gt;"",$K$7,"")</f>
        <v>24114.8980934895</v>
      </c>
      <c r="F28" s="610">
        <f>IF(AND($B$20:$B$499&lt;&gt;"",$E$20:$E$499+$E$12&lt;$D$20:$D$499),$E$12,IF(AND($B$20:$B$499&lt;&gt;"",$D$20:$D$499-$E$20:$E$499&gt;0),$D$20:$D$499-$E$20:$E$499,IF($B$20:$B$499&lt;&gt;"",0,"")))</f>
        <v>0</v>
      </c>
      <c r="G28" s="610">
        <f>IF(AND($B$20:$B$499&lt;&gt;"",$E$20:$E$499+$F$20:$F$499&lt;$D$20:$D$499),$E$20:$E$499+$F$20:$F$499,IF($B$20:$B$499&lt;&gt;"",$D$20:$D$499,""))</f>
        <v>24114.8980934895</v>
      </c>
      <c r="H28" s="610">
        <f>IF($B$20:$B$499&lt;&gt;"",$G$20:$G$499-$I$20:$I$499,"")</f>
        <v>6255.295800711</v>
      </c>
      <c r="I28" s="610">
        <f>IF($B$20:$B$499&lt;&gt;"",$D$20:$D$499*$E$8/$E$10,"")</f>
        <v>17859.6022927785</v>
      </c>
      <c r="J28" s="610">
        <f>IF(AND($B$20:$B$499&lt;&gt;"",$E$20:$E$499+$F$20:$F$499&lt;$D$20:$D$499),$D$20:$D$499-$H$20:$H$499,IF($B$20:$B$499&lt;&gt;"",0,""))</f>
        <v>3055390.81153275</v>
      </c>
      <c r="K28" s="610">
        <f>SUM($I$20:$I28)</f>
        <v>162024.894374153</v>
      </c>
      <c r="L28" s="371"/>
      <c r="M28" s="371"/>
      <c r="N28" s="611">
        <v>9</v>
      </c>
      <c r="O28" s="6"/>
      <c r="P28" s="6"/>
      <c r="Q28" s="6"/>
      <c r="R28" s="6"/>
      <c r="S28" s="6"/>
      <c r="T28" s="6"/>
      <c r="U28" s="7"/>
    </row>
    <row r="29" ht="13.75" customHeight="1">
      <c r="A29" s="5"/>
      <c r="B29" s="608">
        <v>10</v>
      </c>
      <c r="C29" s="609">
        <f>IF($B$20:$B$499&lt;&gt;"",DATE(YEAR($E$11),MONTH($E$11)+($B$20:$B$499)*12/$E$10,DAY($E$11)),"")</f>
        <v>45566</v>
      </c>
      <c r="D29" s="610">
        <f>IF($B$20:$B$499&lt;&gt;"",J28,"")</f>
        <v>3055390.81153275</v>
      </c>
      <c r="E29" s="610">
        <f>IF($B$20:$B$499&lt;&gt;"",$K$7,"")</f>
        <v>24114.8980934895</v>
      </c>
      <c r="F29" s="610">
        <f>IF(AND($B$20:$B$499&lt;&gt;"",$E$20:$E$499+$E$12&lt;$D$20:$D$499),$E$12,IF(AND($B$20:$B$499&lt;&gt;"",$D$20:$D$499-$E$20:$E$499&gt;0),$D$20:$D$499-$E$20:$E$499,IF($B$20:$B$499&lt;&gt;"",0,"")))</f>
        <v>0</v>
      </c>
      <c r="G29" s="610">
        <f>IF(AND($B$20:$B$499&lt;&gt;"",$E$20:$E$499+$F$20:$F$499&lt;$D$20:$D$499),$E$20:$E$499+$F$20:$F$499,IF($B$20:$B$499&lt;&gt;"",$D$20:$D$499,""))</f>
        <v>24114.8980934895</v>
      </c>
      <c r="H29" s="610">
        <f>IF($B$20:$B$499&lt;&gt;"",$G$20:$G$499-$I$20:$I$499,"")</f>
        <v>6291.7850262151</v>
      </c>
      <c r="I29" s="610">
        <f>IF($B$20:$B$499&lt;&gt;"",$D$20:$D$499*$E$8/$E$10,"")</f>
        <v>17823.1130672744</v>
      </c>
      <c r="J29" s="610">
        <f>IF(AND($B$20:$B$499&lt;&gt;"",$E$20:$E$499+$F$20:$F$499&lt;$D$20:$D$499),$D$20:$D$499-$H$20:$H$499,IF($B$20:$B$499&lt;&gt;"",0,""))</f>
        <v>3049099.02650653</v>
      </c>
      <c r="K29" s="610">
        <f>SUM($I$20:$I29)</f>
        <v>179848.007441427</v>
      </c>
      <c r="L29" s="371"/>
      <c r="M29" s="371"/>
      <c r="N29" s="611">
        <v>10</v>
      </c>
      <c r="O29" s="6"/>
      <c r="P29" s="6"/>
      <c r="Q29" s="6"/>
      <c r="R29" s="6"/>
      <c r="S29" s="6"/>
      <c r="T29" s="6"/>
      <c r="U29" s="7"/>
    </row>
    <row r="30" ht="13.75" customHeight="1">
      <c r="A30" s="5"/>
      <c r="B30" s="608">
        <v>11</v>
      </c>
      <c r="C30" s="609">
        <f>IF($B$20:$B$499&lt;&gt;"",DATE(YEAR($E$11),MONTH($E$11)+($B$20:$B$499)*12/$E$10,DAY($E$11)),"")</f>
        <v>45597</v>
      </c>
      <c r="D30" s="610">
        <f>IF($B$20:$B$499&lt;&gt;"",J29,"")</f>
        <v>3049099.02650653</v>
      </c>
      <c r="E30" s="610">
        <f>IF($B$20:$B$499&lt;&gt;"",$K$7,"")</f>
        <v>24114.8980934895</v>
      </c>
      <c r="F30" s="610">
        <f>IF(AND($B$20:$B$499&lt;&gt;"",$E$20:$E$499+$E$12&lt;$D$20:$D$499),$E$12,IF(AND($B$20:$B$499&lt;&gt;"",$D$20:$D$499-$E$20:$E$499&gt;0),$D$20:$D$499-$E$20:$E$499,IF($B$20:$B$499&lt;&gt;"",0,"")))</f>
        <v>0</v>
      </c>
      <c r="G30" s="610">
        <f>IF(AND($B$20:$B$499&lt;&gt;"",$E$20:$E$499+$F$20:$F$499&lt;$D$20:$D$499),$E$20:$E$499+$F$20:$F$499,IF($B$20:$B$499&lt;&gt;"",$D$20:$D$499,""))</f>
        <v>24114.8980934895</v>
      </c>
      <c r="H30" s="610">
        <f>IF($B$20:$B$499&lt;&gt;"",$G$20:$G$499-$I$20:$I$499,"")</f>
        <v>6328.4871055347</v>
      </c>
      <c r="I30" s="610">
        <f>IF($B$20:$B$499&lt;&gt;"",$D$20:$D$499*$E$8/$E$10,"")</f>
        <v>17786.4109879548</v>
      </c>
      <c r="J30" s="610">
        <f>IF(AND($B$20:$B$499&lt;&gt;"",$E$20:$E$499+$F$20:$F$499&lt;$D$20:$D$499),$D$20:$D$499-$H$20:$H$499,IF($B$20:$B$499&lt;&gt;"",0,""))</f>
        <v>3042770.539401</v>
      </c>
      <c r="K30" s="610">
        <f>SUM($I$20:$I30)</f>
        <v>197634.418429382</v>
      </c>
      <c r="L30" s="371"/>
      <c r="M30" s="371"/>
      <c r="N30" s="611">
        <v>11</v>
      </c>
      <c r="O30" s="6"/>
      <c r="P30" s="6"/>
      <c r="Q30" s="6"/>
      <c r="R30" s="6"/>
      <c r="S30" s="6"/>
      <c r="T30" s="6"/>
      <c r="U30" s="7"/>
    </row>
    <row r="31" ht="13.75" customHeight="1">
      <c r="A31" s="5"/>
      <c r="B31" s="608">
        <v>12</v>
      </c>
      <c r="C31" s="609">
        <f>IF($B$20:$B$499&lt;&gt;"",DATE(YEAR($E$11),MONTH($E$11)+($B$20:$B$499)*12/$E$10,DAY($E$11)),"")</f>
        <v>45627</v>
      </c>
      <c r="D31" s="610">
        <f>IF($B$20:$B$499&lt;&gt;"",J30,"")</f>
        <v>3042770.539401</v>
      </c>
      <c r="E31" s="610">
        <f>IF($B$20:$B$499&lt;&gt;"",$K$7,"")</f>
        <v>24114.8980934895</v>
      </c>
      <c r="F31" s="610">
        <f>IF(AND($B$20:$B$499&lt;&gt;"",$E$20:$E$499+$E$12&lt;$D$20:$D$499),$E$12,IF(AND($B$20:$B$499&lt;&gt;"",$D$20:$D$499-$E$20:$E$499&gt;0),$D$20:$D$499-$E$20:$E$499,IF($B$20:$B$499&lt;&gt;"",0,"")))</f>
        <v>0</v>
      </c>
      <c r="G31" s="610">
        <f>IF(AND($B$20:$B$499&lt;&gt;"",$E$20:$E$499+$F$20:$F$499&lt;$D$20:$D$499),$E$20:$E$499+$F$20:$F$499,IF($B$20:$B$499&lt;&gt;"",$D$20:$D$499,""))</f>
        <v>24114.8980934895</v>
      </c>
      <c r="H31" s="610">
        <f>IF($B$20:$B$499&lt;&gt;"",$G$20:$G$499-$I$20:$I$499,"")</f>
        <v>6365.403280317</v>
      </c>
      <c r="I31" s="610">
        <f>IF($B$20:$B$499&lt;&gt;"",$D$20:$D$499*$E$8/$E$10,"")</f>
        <v>17749.4948131725</v>
      </c>
      <c r="J31" s="610">
        <f>IF(AND($B$20:$B$499&lt;&gt;"",$E$20:$E$499+$F$20:$F$499&lt;$D$20:$D$499),$D$20:$D$499-$H$20:$H$499,IF($B$20:$B$499&lt;&gt;"",0,""))</f>
        <v>3036405.13612068</v>
      </c>
      <c r="K31" s="610">
        <f>SUM($I$20:$I31)</f>
        <v>215383.913242554</v>
      </c>
      <c r="L31" s="371">
        <f>SUM(H20:H31)</f>
        <v>73994.8638793197</v>
      </c>
      <c r="M31" s="371">
        <f>SUM(I20:I31)</f>
        <v>215383.913242554</v>
      </c>
      <c r="N31" s="611">
        <v>12</v>
      </c>
      <c r="O31" s="6"/>
      <c r="P31" s="371"/>
      <c r="Q31" s="6"/>
      <c r="R31" s="6"/>
      <c r="S31" s="6"/>
      <c r="T31" s="6"/>
      <c r="U31" s="7"/>
    </row>
    <row r="32" ht="13.75" customHeight="1">
      <c r="A32" s="5"/>
      <c r="B32" s="608">
        <v>13</v>
      </c>
      <c r="C32" s="609">
        <f>IF($B$20:$B$499&lt;&gt;"",DATE(YEAR($E$11),MONTH($E$11)+($B$20:$B$499)*12/$E$10,DAY($E$11)),"")</f>
        <v>45658</v>
      </c>
      <c r="D32" s="610">
        <f>IF($B$20:$B$499&lt;&gt;"",J31,"")</f>
        <v>3036405.13612068</v>
      </c>
      <c r="E32" s="610">
        <f>IF($B$20:$B$499&lt;&gt;"",$K$7,"")</f>
        <v>24114.8980934895</v>
      </c>
      <c r="F32" s="610">
        <f>IF(AND($B$20:$B$499&lt;&gt;"",$E$20:$E$499+$E$12&lt;$D$20:$D$499),$E$12,IF(AND($B$20:$B$499&lt;&gt;"",$D$20:$D$499-$E$20:$E$499&gt;0),$D$20:$D$499-$E$20:$E$499,IF($B$20:$B$499&lt;&gt;"",0,"")))</f>
        <v>0</v>
      </c>
      <c r="G32" s="610">
        <f>IF(AND($B$20:$B$499&lt;&gt;"",$E$20:$E$499+$F$20:$F$499&lt;$D$20:$D$499),$E$20:$E$499+$F$20:$F$499,IF($B$20:$B$499&lt;&gt;"",$D$20:$D$499,""))</f>
        <v>24114.8980934895</v>
      </c>
      <c r="H32" s="610">
        <f>IF($B$20:$B$499&lt;&gt;"",$G$20:$G$499-$I$20:$I$499,"")</f>
        <v>6402.5347994522</v>
      </c>
      <c r="I32" s="610">
        <f>IF($B$20:$B$499&lt;&gt;"",$D$20:$D$499*$E$8/$E$10,"")</f>
        <v>17712.3632940373</v>
      </c>
      <c r="J32" s="610">
        <f>IF(AND($B$20:$B$499&lt;&gt;"",$E$20:$E$499+$F$20:$F$499&lt;$D$20:$D$499),$D$20:$D$499-$H$20:$H$499,IF($B$20:$B$499&lt;&gt;"",0,""))</f>
        <v>3030002.60132123</v>
      </c>
      <c r="K32" s="610">
        <f>SUM($I$20:$I32)</f>
        <v>233096.276536592</v>
      </c>
      <c r="L32" s="371"/>
      <c r="M32" s="371"/>
      <c r="N32" s="612">
        <v>1</v>
      </c>
      <c r="O32" s="6"/>
      <c r="P32" s="6"/>
      <c r="Q32" s="6"/>
      <c r="R32" s="6"/>
      <c r="S32" s="6"/>
      <c r="T32" s="6"/>
      <c r="U32" s="7"/>
    </row>
    <row r="33" ht="13.75" customHeight="1">
      <c r="A33" s="5"/>
      <c r="B33" s="608">
        <v>14</v>
      </c>
      <c r="C33" s="609">
        <f>IF($B$20:$B$499&lt;&gt;"",DATE(YEAR($E$11),MONTH($E$11)+($B$20:$B$499)*12/$E$10,DAY($E$11)),"")</f>
        <v>45689</v>
      </c>
      <c r="D33" s="610">
        <f>IF($B$20:$B$499&lt;&gt;"",J32,"")</f>
        <v>3030002.60132123</v>
      </c>
      <c r="E33" s="610">
        <f>IF($B$20:$B$499&lt;&gt;"",$K$7,"")</f>
        <v>24114.8980934895</v>
      </c>
      <c r="F33" s="610">
        <f>IF(AND($B$20:$B$499&lt;&gt;"",$E$20:$E$499+$E$12&lt;$D$20:$D$499),$E$12,IF(AND($B$20:$B$499&lt;&gt;"",$D$20:$D$499-$E$20:$E$499&gt;0),$D$20:$D$499-$E$20:$E$499,IF($B$20:$B$499&lt;&gt;"",0,"")))</f>
        <v>0</v>
      </c>
      <c r="G33" s="610">
        <f>IF(AND($B$20:$B$499&lt;&gt;"",$E$20:$E$499+$F$20:$F$499&lt;$D$20:$D$499),$E$20:$E$499+$F$20:$F$499,IF($B$20:$B$499&lt;&gt;"",$D$20:$D$499,""))</f>
        <v>24114.8980934895</v>
      </c>
      <c r="H33" s="610">
        <f>IF($B$20:$B$499&lt;&gt;"",$G$20:$G$499-$I$20:$I$499,"")</f>
        <v>6439.8829191157</v>
      </c>
      <c r="I33" s="610">
        <f>IF($B$20:$B$499&lt;&gt;"",$D$20:$D$499*$E$8/$E$10,"")</f>
        <v>17675.0151743738</v>
      </c>
      <c r="J33" s="610">
        <f>IF(AND($B$20:$B$499&lt;&gt;"",$E$20:$E$499+$F$20:$F$499&lt;$D$20:$D$499),$D$20:$D$499-$H$20:$H$499,IF($B$20:$B$499&lt;&gt;"",0,""))</f>
        <v>3023562.71840211</v>
      </c>
      <c r="K33" s="610">
        <f>SUM($I$20:$I33)</f>
        <v>250771.291710965</v>
      </c>
      <c r="L33" s="371"/>
      <c r="M33" s="371"/>
      <c r="N33" s="612">
        <v>2</v>
      </c>
      <c r="O33" s="6"/>
      <c r="P33" s="6"/>
      <c r="Q33" s="6"/>
      <c r="R33" s="6"/>
      <c r="S33" s="6"/>
      <c r="T33" s="6"/>
      <c r="U33" s="7"/>
    </row>
    <row r="34" ht="13.75" customHeight="1">
      <c r="A34" s="5"/>
      <c r="B34" s="608">
        <v>15</v>
      </c>
      <c r="C34" s="609">
        <f>IF($B$20:$B$499&lt;&gt;"",DATE(YEAR($E$11),MONTH($E$11)+($B$20:$B$499)*12/$E$10,DAY($E$11)),"")</f>
        <v>45717</v>
      </c>
      <c r="D34" s="610">
        <f>IF($B$20:$B$499&lt;&gt;"",J33,"")</f>
        <v>3023562.71840211</v>
      </c>
      <c r="E34" s="610">
        <f>IF($B$20:$B$499&lt;&gt;"",$K$7,"")</f>
        <v>24114.8980934895</v>
      </c>
      <c r="F34" s="610">
        <f>IF(AND($B$20:$B$499&lt;&gt;"",$E$20:$E$499+$E$12&lt;$D$20:$D$499),$E$12,IF(AND($B$20:$B$499&lt;&gt;"",$D$20:$D$499-$E$20:$E$499&gt;0),$D$20:$D$499-$E$20:$E$499,IF($B$20:$B$499&lt;&gt;"",0,"")))</f>
        <v>0</v>
      </c>
      <c r="G34" s="610">
        <f>IF(AND($B$20:$B$499&lt;&gt;"",$E$20:$E$499+$F$20:$F$499&lt;$D$20:$D$499),$E$20:$E$499+$F$20:$F$499,IF($B$20:$B$499&lt;&gt;"",$D$20:$D$499,""))</f>
        <v>24114.8980934895</v>
      </c>
      <c r="H34" s="610">
        <f>IF($B$20:$B$499&lt;&gt;"",$G$20:$G$499-$I$20:$I$499,"")</f>
        <v>6477.4489028105</v>
      </c>
      <c r="I34" s="610">
        <f>IF($B$20:$B$499&lt;&gt;"",$D$20:$D$499*$E$8/$E$10,"")</f>
        <v>17637.449190679</v>
      </c>
      <c r="J34" s="610">
        <f>IF(AND($B$20:$B$499&lt;&gt;"",$E$20:$E$499+$F$20:$F$499&lt;$D$20:$D$499),$D$20:$D$499-$H$20:$H$499,IF($B$20:$B$499&lt;&gt;"",0,""))</f>
        <v>3017085.2694993</v>
      </c>
      <c r="K34" s="610">
        <f>SUM($I$20:$I34)</f>
        <v>268408.740901644</v>
      </c>
      <c r="L34" s="371"/>
      <c r="M34" s="371"/>
      <c r="N34" s="612">
        <v>3</v>
      </c>
      <c r="O34" s="6"/>
      <c r="P34" s="6"/>
      <c r="Q34" s="6"/>
      <c r="R34" s="6"/>
      <c r="S34" s="6"/>
      <c r="T34" s="6"/>
      <c r="U34" s="7"/>
    </row>
    <row r="35" ht="13.75" customHeight="1">
      <c r="A35" s="5"/>
      <c r="B35" s="608">
        <v>16</v>
      </c>
      <c r="C35" s="609">
        <f>IF($B$20:$B$499&lt;&gt;"",DATE(YEAR($E$11),MONTH($E$11)+($B$20:$B$499)*12/$E$10,DAY($E$11)),"")</f>
        <v>45748</v>
      </c>
      <c r="D35" s="610">
        <f>IF($B$20:$B$499&lt;&gt;"",J34,"")</f>
        <v>3017085.2694993</v>
      </c>
      <c r="E35" s="610">
        <f>IF($B$20:$B$499&lt;&gt;"",$K$7,"")</f>
        <v>24114.8980934895</v>
      </c>
      <c r="F35" s="610">
        <f>IF(AND($B$20:$B$499&lt;&gt;"",$E$20:$E$499+$E$12&lt;$D$20:$D$499),$E$12,IF(AND($B$20:$B$499&lt;&gt;"",$D$20:$D$499-$E$20:$E$499&gt;0),$D$20:$D$499-$E$20:$E$499,IF($B$20:$B$499&lt;&gt;"",0,"")))</f>
        <v>0</v>
      </c>
      <c r="G35" s="610">
        <f>IF(AND($B$20:$B$499&lt;&gt;"",$E$20:$E$499+$F$20:$F$499&lt;$D$20:$D$499),$E$20:$E$499+$F$20:$F$499,IF($B$20:$B$499&lt;&gt;"",$D$20:$D$499,""))</f>
        <v>24114.8980934895</v>
      </c>
      <c r="H35" s="610">
        <f>IF($B$20:$B$499&lt;&gt;"",$G$20:$G$499-$I$20:$I$499,"")</f>
        <v>6515.2340214102</v>
      </c>
      <c r="I35" s="610">
        <f>IF($B$20:$B$499&lt;&gt;"",$D$20:$D$499*$E$8/$E$10,"")</f>
        <v>17599.6640720793</v>
      </c>
      <c r="J35" s="610">
        <f>IF(AND($B$20:$B$499&lt;&gt;"",$E$20:$E$499+$F$20:$F$499&lt;$D$20:$D$499),$D$20:$D$499-$H$20:$H$499,IF($B$20:$B$499&lt;&gt;"",0,""))</f>
        <v>3010570.03547789</v>
      </c>
      <c r="K35" s="610">
        <f>SUM($I$20:$I35)</f>
        <v>286008.404973724</v>
      </c>
      <c r="L35" s="371"/>
      <c r="M35" s="371"/>
      <c r="N35" s="612">
        <v>4</v>
      </c>
      <c r="O35" s="6"/>
      <c r="P35" s="6"/>
      <c r="Q35" s="6"/>
      <c r="R35" s="6"/>
      <c r="S35" s="6"/>
      <c r="T35" s="6"/>
      <c r="U35" s="7"/>
    </row>
    <row r="36" ht="13.75" customHeight="1">
      <c r="A36" s="5"/>
      <c r="B36" s="608">
        <v>17</v>
      </c>
      <c r="C36" s="609">
        <f>IF($B$20:$B$499&lt;&gt;"",DATE(YEAR($E$11),MONTH($E$11)+($B$20:$B$499)*12/$E$10,DAY($E$11)),"")</f>
        <v>45778</v>
      </c>
      <c r="D36" s="610">
        <f>IF($B$20:$B$499&lt;&gt;"",J35,"")</f>
        <v>3010570.03547789</v>
      </c>
      <c r="E36" s="610">
        <f>IF($B$20:$B$499&lt;&gt;"",$K$7,"")</f>
        <v>24114.8980934895</v>
      </c>
      <c r="F36" s="610">
        <f>IF(AND($B$20:$B$499&lt;&gt;"",$E$20:$E$499+$E$12&lt;$D$20:$D$499),$E$12,IF(AND($B$20:$B$499&lt;&gt;"",$D$20:$D$499-$E$20:$E$499&gt;0),$D$20:$D$499-$E$20:$E$499,IF($B$20:$B$499&lt;&gt;"",0,"")))</f>
        <v>0</v>
      </c>
      <c r="G36" s="610">
        <f>IF(AND($B$20:$B$499&lt;&gt;"",$E$20:$E$499+$F$20:$F$499&lt;$D$20:$D$499),$E$20:$E$499+$F$20:$F$499,IF($B$20:$B$499&lt;&gt;"",$D$20:$D$499,""))</f>
        <v>24114.8980934895</v>
      </c>
      <c r="H36" s="610">
        <f>IF($B$20:$B$499&lt;&gt;"",$G$20:$G$499-$I$20:$I$499,"")</f>
        <v>6553.2395532018</v>
      </c>
      <c r="I36" s="610">
        <f>IF($B$20:$B$499&lt;&gt;"",$D$20:$D$499*$E$8/$E$10,"")</f>
        <v>17561.6585402877</v>
      </c>
      <c r="J36" s="610">
        <f>IF(AND($B$20:$B$499&lt;&gt;"",$E$20:$E$499+$F$20:$F$499&lt;$D$20:$D$499),$D$20:$D$499-$H$20:$H$499,IF($B$20:$B$499&lt;&gt;"",0,""))</f>
        <v>3004016.79592469</v>
      </c>
      <c r="K36" s="610">
        <f>SUM($I$20:$I36)</f>
        <v>303570.063514011</v>
      </c>
      <c r="L36" s="371"/>
      <c r="M36" s="371"/>
      <c r="N36" s="612">
        <v>5</v>
      </c>
      <c r="O36" s="6"/>
      <c r="P36" s="6"/>
      <c r="Q36" s="6"/>
      <c r="R36" s="6"/>
      <c r="S36" s="6"/>
      <c r="T36" s="6"/>
      <c r="U36" s="7"/>
    </row>
    <row r="37" ht="13.75" customHeight="1">
      <c r="A37" s="5"/>
      <c r="B37" s="608">
        <v>18</v>
      </c>
      <c r="C37" s="609">
        <f>IF($B$20:$B$499&lt;&gt;"",DATE(YEAR($E$11),MONTH($E$11)+($B$20:$B$499)*12/$E$10,DAY($E$11)),"")</f>
        <v>45809</v>
      </c>
      <c r="D37" s="610">
        <f>IF($B$20:$B$499&lt;&gt;"",J36,"")</f>
        <v>3004016.79592469</v>
      </c>
      <c r="E37" s="610">
        <f>IF($B$20:$B$499&lt;&gt;"",$K$7,"")</f>
        <v>24114.8980934895</v>
      </c>
      <c r="F37" s="610">
        <f>IF(AND($B$20:$B$499&lt;&gt;"",$E$20:$E$499+$E$12&lt;$D$20:$D$499),$E$12,IF(AND($B$20:$B$499&lt;&gt;"",$D$20:$D$499-$E$20:$E$499&gt;0),$D$20:$D$499-$E$20:$E$499,IF($B$20:$B$499&lt;&gt;"",0,"")))</f>
        <v>0</v>
      </c>
      <c r="G37" s="610">
        <f>IF(AND($B$20:$B$499&lt;&gt;"",$E$20:$E$499+$F$20:$F$499&lt;$D$20:$D$499),$E$20:$E$499+$F$20:$F$499,IF($B$20:$B$499&lt;&gt;"",$D$20:$D$499,""))</f>
        <v>24114.8980934895</v>
      </c>
      <c r="H37" s="610">
        <f>IF($B$20:$B$499&lt;&gt;"",$G$20:$G$499-$I$20:$I$499,"")</f>
        <v>6591.4667839288</v>
      </c>
      <c r="I37" s="610">
        <f>IF($B$20:$B$499&lt;&gt;"",$D$20:$D$499*$E$8/$E$10,"")</f>
        <v>17523.4313095607</v>
      </c>
      <c r="J37" s="610">
        <f>IF(AND($B$20:$B$499&lt;&gt;"",$E$20:$E$499+$F$20:$F$499&lt;$D$20:$D$499),$D$20:$D$499-$H$20:$H$499,IF($B$20:$B$499&lt;&gt;"",0,""))</f>
        <v>2997425.32914076</v>
      </c>
      <c r="K37" s="610">
        <f>SUM($I$20:$I37)</f>
        <v>321093.494823572</v>
      </c>
      <c r="L37" s="371"/>
      <c r="M37" s="371"/>
      <c r="N37" s="611">
        <v>6</v>
      </c>
      <c r="O37" s="6"/>
      <c r="P37" s="6"/>
      <c r="Q37" s="6"/>
      <c r="R37" s="6"/>
      <c r="S37" s="6"/>
      <c r="T37" s="6"/>
      <c r="U37" s="7"/>
    </row>
    <row r="38" ht="13.75" customHeight="1">
      <c r="A38" s="5"/>
      <c r="B38" s="608">
        <v>19</v>
      </c>
      <c r="C38" s="609">
        <f>IF($B$20:$B$499&lt;&gt;"",DATE(YEAR($E$11),MONTH($E$11)+($B$20:$B$499)*12/$E$10,DAY($E$11)),"")</f>
        <v>45839</v>
      </c>
      <c r="D38" s="610">
        <f>IF($B$20:$B$499&lt;&gt;"",J37,"")</f>
        <v>2997425.32914076</v>
      </c>
      <c r="E38" s="610">
        <f>IF($B$20:$B$499&lt;&gt;"",$K$7,"")</f>
        <v>24114.8980934895</v>
      </c>
      <c r="F38" s="610">
        <f>IF(AND($B$20:$B$499&lt;&gt;"",$E$20:$E$499+$E$12&lt;$D$20:$D$499),$E$12,IF(AND($B$20:$B$499&lt;&gt;"",$D$20:$D$499-$E$20:$E$499&gt;0),$D$20:$D$499-$E$20:$E$499,IF($B$20:$B$499&lt;&gt;"",0,"")))</f>
        <v>0</v>
      </c>
      <c r="G38" s="610">
        <f>IF(AND($B$20:$B$499&lt;&gt;"",$E$20:$E$499+$F$20:$F$499&lt;$D$20:$D$499),$E$20:$E$499+$F$20:$F$499,IF($B$20:$B$499&lt;&gt;"",$D$20:$D$499,""))</f>
        <v>24114.8980934895</v>
      </c>
      <c r="H38" s="610">
        <f>IF($B$20:$B$499&lt;&gt;"",$G$20:$G$499-$I$20:$I$499,"")</f>
        <v>6629.9170068351</v>
      </c>
      <c r="I38" s="610">
        <f>IF($B$20:$B$499&lt;&gt;"",$D$20:$D$499*$E$8/$E$10,"")</f>
        <v>17484.9810866544</v>
      </c>
      <c r="J38" s="610">
        <f>IF(AND($B$20:$B$499&lt;&gt;"",$E$20:$E$499+$F$20:$F$499&lt;$D$20:$D$499),$D$20:$D$499-$H$20:$H$499,IF($B$20:$B$499&lt;&gt;"",0,""))</f>
        <v>2990795.41213392</v>
      </c>
      <c r="K38" s="610">
        <f>SUM($I$20:$I38)</f>
        <v>338578.475910227</v>
      </c>
      <c r="L38" s="371"/>
      <c r="M38" s="371"/>
      <c r="N38" s="611">
        <v>7</v>
      </c>
      <c r="O38" s="6"/>
      <c r="P38" s="6"/>
      <c r="Q38" s="6"/>
      <c r="R38" s="6"/>
      <c r="S38" s="6"/>
      <c r="T38" s="6"/>
      <c r="U38" s="7"/>
    </row>
    <row r="39" ht="13.75" customHeight="1">
      <c r="A39" s="5"/>
      <c r="B39" s="608">
        <v>20</v>
      </c>
      <c r="C39" s="609">
        <f>IF($B$20:$B$499&lt;&gt;"",DATE(YEAR($E$11),MONTH($E$11)+($B$20:$B$499)*12/$E$10,DAY($E$11)),"")</f>
        <v>45870</v>
      </c>
      <c r="D39" s="610">
        <f>IF($B$20:$B$499&lt;&gt;"",J38,"")</f>
        <v>2990795.41213392</v>
      </c>
      <c r="E39" s="610">
        <f>IF($B$20:$B$499&lt;&gt;"",$K$7,"")</f>
        <v>24114.8980934895</v>
      </c>
      <c r="F39" s="610">
        <f>IF(AND($B$20:$B$499&lt;&gt;"",$E$20:$E$499+$E$12&lt;$D$20:$D$499),$E$12,IF(AND($B$20:$B$499&lt;&gt;"",$D$20:$D$499-$E$20:$E$499&gt;0),$D$20:$D$499-$E$20:$E$499,IF($B$20:$B$499&lt;&gt;"",0,"")))</f>
        <v>0</v>
      </c>
      <c r="G39" s="610">
        <f>IF(AND($B$20:$B$499&lt;&gt;"",$E$20:$E$499+$F$20:$F$499&lt;$D$20:$D$499),$E$20:$E$499+$F$20:$F$499,IF($B$20:$B$499&lt;&gt;"",$D$20:$D$499,""))</f>
        <v>24114.8980934895</v>
      </c>
      <c r="H39" s="610">
        <f>IF($B$20:$B$499&lt;&gt;"",$G$20:$G$499-$I$20:$I$499,"")</f>
        <v>6668.5915227083</v>
      </c>
      <c r="I39" s="610">
        <f>IF($B$20:$B$499&lt;&gt;"",$D$20:$D$499*$E$8/$E$10,"")</f>
        <v>17446.3065707812</v>
      </c>
      <c r="J39" s="610">
        <f>IF(AND($B$20:$B$499&lt;&gt;"",$E$20:$E$499+$F$20:$F$499&lt;$D$20:$D$499),$D$20:$D$499-$H$20:$H$499,IF($B$20:$B$499&lt;&gt;"",0,""))</f>
        <v>2984126.82061121</v>
      </c>
      <c r="K39" s="610">
        <f>SUM($I$20:$I39)</f>
        <v>356024.782481008</v>
      </c>
      <c r="L39" s="371"/>
      <c r="M39" s="371"/>
      <c r="N39" s="611">
        <v>8</v>
      </c>
      <c r="O39" s="6"/>
      <c r="P39" s="6"/>
      <c r="Q39" s="6"/>
      <c r="R39" s="6"/>
      <c r="S39" s="6"/>
      <c r="T39" s="6"/>
      <c r="U39" s="7"/>
    </row>
    <row r="40" ht="13.75" customHeight="1">
      <c r="A40" s="5"/>
      <c r="B40" s="608">
        <v>21</v>
      </c>
      <c r="C40" s="609">
        <f>IF($B$20:$B$499&lt;&gt;"",DATE(YEAR($E$11),MONTH($E$11)+($B$20:$B$499)*12/$E$10,DAY($E$11)),"")</f>
        <v>45901</v>
      </c>
      <c r="D40" s="610">
        <f>IF($B$20:$B$499&lt;&gt;"",J39,"")</f>
        <v>2984126.82061121</v>
      </c>
      <c r="E40" s="610">
        <f>IF($B$20:$B$499&lt;&gt;"",$K$7,"")</f>
        <v>24114.8980934895</v>
      </c>
      <c r="F40" s="610">
        <f>IF(AND($B$20:$B$499&lt;&gt;"",$E$20:$E$499+$E$12&lt;$D$20:$D$499),$E$12,IF(AND($B$20:$B$499&lt;&gt;"",$D$20:$D$499-$E$20:$E$499&gt;0),$D$20:$D$499-$E$20:$E$499,IF($B$20:$B$499&lt;&gt;"",0,"")))</f>
        <v>0</v>
      </c>
      <c r="G40" s="610">
        <f>IF(AND($B$20:$B$499&lt;&gt;"",$E$20:$E$499+$F$20:$F$499&lt;$D$20:$D$499),$E$20:$E$499+$F$20:$F$499,IF($B$20:$B$499&lt;&gt;"",$D$20:$D$499,""))</f>
        <v>24114.8980934895</v>
      </c>
      <c r="H40" s="610">
        <f>IF($B$20:$B$499&lt;&gt;"",$G$20:$G$499-$I$20:$I$499,"")</f>
        <v>6707.4916399241</v>
      </c>
      <c r="I40" s="610">
        <f>IF($B$20:$B$499&lt;&gt;"",$D$20:$D$499*$E$8/$E$10,"")</f>
        <v>17407.4064535654</v>
      </c>
      <c r="J40" s="610">
        <f>IF(AND($B$20:$B$499&lt;&gt;"",$E$20:$E$499+$F$20:$F$499&lt;$D$20:$D$499),$D$20:$D$499-$H$20:$H$499,IF($B$20:$B$499&lt;&gt;"",0,""))</f>
        <v>2977419.32897129</v>
      </c>
      <c r="K40" s="610">
        <f>SUM($I$20:$I40)</f>
        <v>373432.188934573</v>
      </c>
      <c r="L40" s="371"/>
      <c r="M40" s="371"/>
      <c r="N40" s="611">
        <v>9</v>
      </c>
      <c r="O40" s="6"/>
      <c r="P40" s="6"/>
      <c r="Q40" s="6"/>
      <c r="R40" s="6"/>
      <c r="S40" s="6"/>
      <c r="T40" s="6"/>
      <c r="U40" s="7"/>
    </row>
    <row r="41" ht="13.75" customHeight="1">
      <c r="A41" s="5"/>
      <c r="B41" s="608">
        <v>22</v>
      </c>
      <c r="C41" s="609">
        <f>IF($B$20:$B$499&lt;&gt;"",DATE(YEAR($E$11),MONTH($E$11)+($B$20:$B$499)*12/$E$10,DAY($E$11)),"")</f>
        <v>45931</v>
      </c>
      <c r="D41" s="610">
        <f>IF($B$20:$B$499&lt;&gt;"",J40,"")</f>
        <v>2977419.32897129</v>
      </c>
      <c r="E41" s="610">
        <f>IF($B$20:$B$499&lt;&gt;"",$K$7,"")</f>
        <v>24114.8980934895</v>
      </c>
      <c r="F41" s="610">
        <f>IF(AND($B$20:$B$499&lt;&gt;"",$E$20:$E$499+$E$12&lt;$D$20:$D$499),$E$12,IF(AND($B$20:$B$499&lt;&gt;"",$D$20:$D$499-$E$20:$E$499&gt;0),$D$20:$D$499-$E$20:$E$499,IF($B$20:$B$499&lt;&gt;"",0,"")))</f>
        <v>0</v>
      </c>
      <c r="G41" s="610">
        <f>IF(AND($B$20:$B$499&lt;&gt;"",$E$20:$E$499+$F$20:$F$499&lt;$D$20:$D$499),$E$20:$E$499+$F$20:$F$499,IF($B$20:$B$499&lt;&gt;"",$D$20:$D$499,""))</f>
        <v>24114.8980934895</v>
      </c>
      <c r="H41" s="610">
        <f>IF($B$20:$B$499&lt;&gt;"",$G$20:$G$499-$I$20:$I$499,"")</f>
        <v>6746.6186744903</v>
      </c>
      <c r="I41" s="610">
        <f>IF($B$20:$B$499&lt;&gt;"",$D$20:$D$499*$E$8/$E$10,"")</f>
        <v>17368.2794189992</v>
      </c>
      <c r="J41" s="610">
        <f>IF(AND($B$20:$B$499&lt;&gt;"",$E$20:$E$499+$F$20:$F$499&lt;$D$20:$D$499),$D$20:$D$499-$H$20:$H$499,IF($B$20:$B$499&lt;&gt;"",0,""))</f>
        <v>2970672.7102968</v>
      </c>
      <c r="K41" s="610">
        <f>SUM($I$20:$I41)</f>
        <v>390800.468353572</v>
      </c>
      <c r="L41" s="371"/>
      <c r="M41" s="371"/>
      <c r="N41" s="611">
        <v>10</v>
      </c>
      <c r="O41" s="6"/>
      <c r="P41" s="6"/>
      <c r="Q41" s="6"/>
      <c r="R41" s="6"/>
      <c r="S41" s="6"/>
      <c r="T41" s="6"/>
      <c r="U41" s="7"/>
    </row>
    <row r="42" ht="13.75" customHeight="1">
      <c r="A42" s="5"/>
      <c r="B42" s="608">
        <v>23</v>
      </c>
      <c r="C42" s="609">
        <f>IF($B$20:$B$499&lt;&gt;"",DATE(YEAR($E$11),MONTH($E$11)+($B$20:$B$499)*12/$E$10,DAY($E$11)),"")</f>
        <v>45962</v>
      </c>
      <c r="D42" s="610">
        <f>IF($B$20:$B$499&lt;&gt;"",J41,"")</f>
        <v>2970672.7102968</v>
      </c>
      <c r="E42" s="610">
        <f>IF($B$20:$B$499&lt;&gt;"",$K$7,"")</f>
        <v>24114.8980934895</v>
      </c>
      <c r="F42" s="610">
        <f>IF(AND($B$20:$B$499&lt;&gt;"",$E$20:$E$499+$E$12&lt;$D$20:$D$499),$E$12,IF(AND($B$20:$B$499&lt;&gt;"",$D$20:$D$499-$E$20:$E$499&gt;0),$D$20:$D$499-$E$20:$E$499,IF($B$20:$B$499&lt;&gt;"",0,"")))</f>
        <v>0</v>
      </c>
      <c r="G42" s="610">
        <f>IF(AND($B$20:$B$499&lt;&gt;"",$E$20:$E$499+$F$20:$F$499&lt;$D$20:$D$499),$E$20:$E$499+$F$20:$F$499,IF($B$20:$B$499&lt;&gt;"",$D$20:$D$499,""))</f>
        <v>24114.8980934895</v>
      </c>
      <c r="H42" s="610">
        <f>IF($B$20:$B$499&lt;&gt;"",$G$20:$G$499-$I$20:$I$499,"")</f>
        <v>6785.9739500915</v>
      </c>
      <c r="I42" s="610">
        <f>IF($B$20:$B$499&lt;&gt;"",$D$20:$D$499*$E$8/$E$10,"")</f>
        <v>17328.924143398</v>
      </c>
      <c r="J42" s="610">
        <f>IF(AND($B$20:$B$499&lt;&gt;"",$E$20:$E$499+$F$20:$F$499&lt;$D$20:$D$499),$D$20:$D$499-$H$20:$H$499,IF($B$20:$B$499&lt;&gt;"",0,""))</f>
        <v>2963886.73634671</v>
      </c>
      <c r="K42" s="610">
        <f>SUM($I$20:$I42)</f>
        <v>408129.39249697</v>
      </c>
      <c r="L42" s="371"/>
      <c r="M42" s="371"/>
      <c r="N42" s="611">
        <v>11</v>
      </c>
      <c r="O42" s="6"/>
      <c r="P42" s="6"/>
      <c r="Q42" s="6"/>
      <c r="R42" s="6"/>
      <c r="S42" s="6"/>
      <c r="T42" s="6"/>
      <c r="U42" s="7"/>
    </row>
    <row r="43" ht="13.75" customHeight="1">
      <c r="A43" s="5"/>
      <c r="B43" s="608">
        <v>24</v>
      </c>
      <c r="C43" s="609">
        <f>IF($B$20:$B$499&lt;&gt;"",DATE(YEAR($E$11),MONTH($E$11)+($B$20:$B$499)*12/$E$10,DAY($E$11)),"")</f>
        <v>45992</v>
      </c>
      <c r="D43" s="610">
        <f>IF($B$20:$B$499&lt;&gt;"",J42,"")</f>
        <v>2963886.73634671</v>
      </c>
      <c r="E43" s="610">
        <f>IF($B$20:$B$499&lt;&gt;"",$K$7,"")</f>
        <v>24114.8980934895</v>
      </c>
      <c r="F43" s="610">
        <f>IF(AND($B$20:$B$499&lt;&gt;"",$E$20:$E$499+$E$12&lt;$D$20:$D$499),$E$12,IF(AND($B$20:$B$499&lt;&gt;"",$D$20:$D$499-$E$20:$E$499&gt;0),$D$20:$D$499-$E$20:$E$499,IF($B$20:$B$499&lt;&gt;"",0,"")))</f>
        <v>0</v>
      </c>
      <c r="G43" s="610">
        <f>IF(AND($B$20:$B$499&lt;&gt;"",$E$20:$E$499+$F$20:$F$499&lt;$D$20:$D$499),$E$20:$E$499+$F$20:$F$499,IF($B$20:$B$499&lt;&gt;"",$D$20:$D$499,""))</f>
        <v>24114.8980934895</v>
      </c>
      <c r="H43" s="610">
        <f>IF($B$20:$B$499&lt;&gt;"",$G$20:$G$499-$I$20:$I$499,"")</f>
        <v>6825.5587981337</v>
      </c>
      <c r="I43" s="610">
        <f>IF($B$20:$B$499&lt;&gt;"",$D$20:$D$499*$E$8/$E$10,"")</f>
        <v>17289.3392953558</v>
      </c>
      <c r="J43" s="610">
        <f>IF(AND($B$20:$B$499&lt;&gt;"",$E$20:$E$499+$F$20:$F$499&lt;$D$20:$D$499),$D$20:$D$499-$H$20:$H$499,IF($B$20:$B$499&lt;&gt;"",0,""))</f>
        <v>2957061.17754858</v>
      </c>
      <c r="K43" s="610">
        <f>SUM($I$20:$I43)</f>
        <v>425418.731792326</v>
      </c>
      <c r="L43" s="371">
        <f>SUM(H32:H43)</f>
        <v>79343.9585721022</v>
      </c>
      <c r="M43" s="371">
        <f>SUM(I32:I43)</f>
        <v>210034.818549772</v>
      </c>
      <c r="N43" s="611">
        <v>12</v>
      </c>
      <c r="O43" s="6"/>
      <c r="P43" s="6"/>
      <c r="Q43" s="6"/>
      <c r="R43" s="6"/>
      <c r="S43" s="6"/>
      <c r="T43" s="6"/>
      <c r="U43" s="7"/>
    </row>
    <row r="44" ht="13.75" customHeight="1">
      <c r="A44" s="5"/>
      <c r="B44" s="608">
        <v>25</v>
      </c>
      <c r="C44" s="609">
        <f>IF($B$20:$B$499&lt;&gt;"",DATE(YEAR($E$11),MONTH($E$11)+($B$20:$B$499)*12/$E$10,DAY($E$11)),"")</f>
        <v>46023</v>
      </c>
      <c r="D44" s="610">
        <f>IF($B$20:$B$499&lt;&gt;"",J43,"")</f>
        <v>2957061.17754858</v>
      </c>
      <c r="E44" s="610">
        <f>IF($B$20:$B$499&lt;&gt;"",$K$7,"")</f>
        <v>24114.8980934895</v>
      </c>
      <c r="F44" s="610">
        <f>IF(AND($B$20:$B$499&lt;&gt;"",$E$20:$E$499+$E$12&lt;$D$20:$D$499),$E$12,IF(AND($B$20:$B$499&lt;&gt;"",$D$20:$D$499-$E$20:$E$499&gt;0),$D$20:$D$499-$E$20:$E$499,IF($B$20:$B$499&lt;&gt;"",0,"")))</f>
        <v>0</v>
      </c>
      <c r="G44" s="610">
        <f>IF(AND($B$20:$B$499&lt;&gt;"",$E$20:$E$499+$F$20:$F$499&lt;$D$20:$D$499),$E$20:$E$499+$F$20:$F$499,IF($B$20:$B$499&lt;&gt;"",$D$20:$D$499,""))</f>
        <v>24114.8980934895</v>
      </c>
      <c r="H44" s="610">
        <f>IF($B$20:$B$499&lt;&gt;"",$G$20:$G$499-$I$20:$I$499,"")</f>
        <v>6865.3745577894</v>
      </c>
      <c r="I44" s="610">
        <f>IF($B$20:$B$499&lt;&gt;"",$D$20:$D$499*$E$8/$E$10,"")</f>
        <v>17249.5235357001</v>
      </c>
      <c r="J44" s="610">
        <f>IF(AND($B$20:$B$499&lt;&gt;"",$E$20:$E$499+$F$20:$F$499&lt;$D$20:$D$499),$D$20:$D$499-$H$20:$H$499,IF($B$20:$B$499&lt;&gt;"",0,""))</f>
        <v>2950195.80299079</v>
      </c>
      <c r="K44" s="610">
        <f>SUM($I$20:$I44)</f>
        <v>442668.255328026</v>
      </c>
      <c r="L44" s="371"/>
      <c r="M44" s="371"/>
      <c r="N44" s="612">
        <v>1</v>
      </c>
      <c r="O44" s="6"/>
      <c r="P44" s="6"/>
      <c r="Q44" s="6"/>
      <c r="R44" s="6"/>
      <c r="S44" s="6"/>
      <c r="T44" s="6"/>
      <c r="U44" s="7"/>
    </row>
    <row r="45" ht="13.75" customHeight="1">
      <c r="A45" s="5"/>
      <c r="B45" s="608">
        <v>26</v>
      </c>
      <c r="C45" s="609">
        <f>IF($B$20:$B$499&lt;&gt;"",DATE(YEAR($E$11),MONTH($E$11)+($B$20:$B$499)*12/$E$10,DAY($E$11)),"")</f>
        <v>46054</v>
      </c>
      <c r="D45" s="610">
        <f>IF($B$20:$B$499&lt;&gt;"",J44,"")</f>
        <v>2950195.80299079</v>
      </c>
      <c r="E45" s="610">
        <f>IF($B$20:$B$499&lt;&gt;"",$K$7,"")</f>
        <v>24114.8980934895</v>
      </c>
      <c r="F45" s="610">
        <f>IF(AND($B$20:$B$499&lt;&gt;"",$E$20:$E$499+$E$12&lt;$D$20:$D$499),$E$12,IF(AND($B$20:$B$499&lt;&gt;"",$D$20:$D$499-$E$20:$E$499&gt;0),$D$20:$D$499-$E$20:$E$499,IF($B$20:$B$499&lt;&gt;"",0,"")))</f>
        <v>0</v>
      </c>
      <c r="G45" s="610">
        <f>IF(AND($B$20:$B$499&lt;&gt;"",$E$20:$E$499+$F$20:$F$499&lt;$D$20:$D$499),$E$20:$E$499+$F$20:$F$499,IF($B$20:$B$499&lt;&gt;"",$D$20:$D$499,""))</f>
        <v>24114.8980934895</v>
      </c>
      <c r="H45" s="610">
        <f>IF($B$20:$B$499&lt;&gt;"",$G$20:$G$499-$I$20:$I$499,"")</f>
        <v>6905.4225760432</v>
      </c>
      <c r="I45" s="610">
        <f>IF($B$20:$B$499&lt;&gt;"",$D$20:$D$499*$E$8/$E$10,"")</f>
        <v>17209.4755174463</v>
      </c>
      <c r="J45" s="610">
        <f>IF(AND($B$20:$B$499&lt;&gt;"",$E$20:$E$499+$F$20:$F$499&lt;$D$20:$D$499),$D$20:$D$499-$H$20:$H$499,IF($B$20:$B$499&lt;&gt;"",0,""))</f>
        <v>2943290.38041475</v>
      </c>
      <c r="K45" s="610">
        <f>SUM($I$20:$I45)</f>
        <v>459877.730845473</v>
      </c>
      <c r="L45" s="371"/>
      <c r="M45" s="371"/>
      <c r="N45" s="612">
        <v>2</v>
      </c>
      <c r="O45" s="6"/>
      <c r="P45" s="6"/>
      <c r="Q45" s="6"/>
      <c r="R45" s="6"/>
      <c r="S45" s="6"/>
      <c r="T45" s="6"/>
      <c r="U45" s="7"/>
    </row>
    <row r="46" ht="13.75" customHeight="1">
      <c r="A46" s="5"/>
      <c r="B46" s="608">
        <v>27</v>
      </c>
      <c r="C46" s="609">
        <f>IF($B$20:$B$499&lt;&gt;"",DATE(YEAR($E$11),MONTH($E$11)+($B$20:$B$499)*12/$E$10,DAY($E$11)),"")</f>
        <v>46082</v>
      </c>
      <c r="D46" s="610">
        <f>IF($B$20:$B$499&lt;&gt;"",J45,"")</f>
        <v>2943290.38041475</v>
      </c>
      <c r="E46" s="610">
        <f>IF($B$20:$B$499&lt;&gt;"",$K$7,"")</f>
        <v>24114.8980934895</v>
      </c>
      <c r="F46" s="610">
        <f>IF(AND($B$20:$B$499&lt;&gt;"",$E$20:$E$499+$E$12&lt;$D$20:$D$499),$E$12,IF(AND($B$20:$B$499&lt;&gt;"",$D$20:$D$499-$E$20:$E$499&gt;0),$D$20:$D$499-$E$20:$E$499,IF($B$20:$B$499&lt;&gt;"",0,"")))</f>
        <v>0</v>
      </c>
      <c r="G46" s="610">
        <f>IF(AND($B$20:$B$499&lt;&gt;"",$E$20:$E$499+$F$20:$F$499&lt;$D$20:$D$499),$E$20:$E$499+$F$20:$F$499,IF($B$20:$B$499&lt;&gt;"",$D$20:$D$499,""))</f>
        <v>24114.8980934895</v>
      </c>
      <c r="H46" s="610">
        <f>IF($B$20:$B$499&lt;&gt;"",$G$20:$G$499-$I$20:$I$499,"")</f>
        <v>6945.7042077368</v>
      </c>
      <c r="I46" s="610">
        <f>IF($B$20:$B$499&lt;&gt;"",$D$20:$D$499*$E$8/$E$10,"")</f>
        <v>17169.1938857527</v>
      </c>
      <c r="J46" s="610">
        <f>IF(AND($B$20:$B$499&lt;&gt;"",$E$20:$E$499+$F$20:$F$499&lt;$D$20:$D$499),$D$20:$D$499-$H$20:$H$499,IF($B$20:$B$499&lt;&gt;"",0,""))</f>
        <v>2936344.67620701</v>
      </c>
      <c r="K46" s="610">
        <f>SUM($I$20:$I46)</f>
        <v>477046.924731225</v>
      </c>
      <c r="L46" s="371"/>
      <c r="M46" s="371"/>
      <c r="N46" s="612">
        <v>3</v>
      </c>
      <c r="O46" s="6"/>
      <c r="P46" s="6"/>
      <c r="Q46" s="6"/>
      <c r="R46" s="6"/>
      <c r="S46" s="6"/>
      <c r="T46" s="6"/>
      <c r="U46" s="7"/>
    </row>
    <row r="47" ht="13.75" customHeight="1">
      <c r="A47" s="5"/>
      <c r="B47" s="608">
        <v>28</v>
      </c>
      <c r="C47" s="609">
        <f>IF($B$20:$B$499&lt;&gt;"",DATE(YEAR($E$11),MONTH($E$11)+($B$20:$B$499)*12/$E$10,DAY($E$11)),"")</f>
        <v>46113</v>
      </c>
      <c r="D47" s="610">
        <f>IF($B$20:$B$499&lt;&gt;"",J46,"")</f>
        <v>2936344.67620701</v>
      </c>
      <c r="E47" s="610">
        <f>IF($B$20:$B$499&lt;&gt;"",$K$7,"")</f>
        <v>24114.8980934895</v>
      </c>
      <c r="F47" s="610">
        <f>IF(AND($B$20:$B$499&lt;&gt;"",$E$20:$E$499+$E$12&lt;$D$20:$D$499),$E$12,IF(AND($B$20:$B$499&lt;&gt;"",$D$20:$D$499-$E$20:$E$499&gt;0),$D$20:$D$499-$E$20:$E$499,IF($B$20:$B$499&lt;&gt;"",0,"")))</f>
        <v>0</v>
      </c>
      <c r="G47" s="610">
        <f>IF(AND($B$20:$B$499&lt;&gt;"",$E$20:$E$499+$F$20:$F$499&lt;$D$20:$D$499),$E$20:$E$499+$F$20:$F$499,IF($B$20:$B$499&lt;&gt;"",$D$20:$D$499,""))</f>
        <v>24114.8980934895</v>
      </c>
      <c r="H47" s="610">
        <f>IF($B$20:$B$499&lt;&gt;"",$G$20:$G$499-$I$20:$I$499,"")</f>
        <v>6986.2208156153</v>
      </c>
      <c r="I47" s="610">
        <f>IF($B$20:$B$499&lt;&gt;"",$D$20:$D$499*$E$8/$E$10,"")</f>
        <v>17128.6772778742</v>
      </c>
      <c r="J47" s="610">
        <f>IF(AND($B$20:$B$499&lt;&gt;"",$E$20:$E$499+$F$20:$F$499&lt;$D$20:$D$499),$D$20:$D$499-$H$20:$H$499,IF($B$20:$B$499&lt;&gt;"",0,""))</f>
        <v>2929358.45539139</v>
      </c>
      <c r="K47" s="610">
        <f>SUM($I$20:$I47)</f>
        <v>494175.602009099</v>
      </c>
      <c r="L47" s="371"/>
      <c r="M47" s="371"/>
      <c r="N47" s="612">
        <v>4</v>
      </c>
      <c r="O47" s="6"/>
      <c r="P47" s="6"/>
      <c r="Q47" s="6"/>
      <c r="R47" s="6"/>
      <c r="S47" s="6"/>
      <c r="T47" s="6"/>
      <c r="U47" s="7"/>
    </row>
    <row r="48" ht="13.75" customHeight="1">
      <c r="A48" s="5"/>
      <c r="B48" s="608">
        <v>29</v>
      </c>
      <c r="C48" s="609">
        <f>IF($B$20:$B$499&lt;&gt;"",DATE(YEAR($E$11),MONTH($E$11)+($B$20:$B$499)*12/$E$10,DAY($E$11)),"")</f>
        <v>46143</v>
      </c>
      <c r="D48" s="610">
        <f>IF($B$20:$B$499&lt;&gt;"",J47,"")</f>
        <v>2929358.45539139</v>
      </c>
      <c r="E48" s="610">
        <f>IF($B$20:$B$499&lt;&gt;"",$K$7,"")</f>
        <v>24114.8980934895</v>
      </c>
      <c r="F48" s="610">
        <f>IF(AND($B$20:$B$499&lt;&gt;"",$E$20:$E$499+$E$12&lt;$D$20:$D$499),$E$12,IF(AND($B$20:$B$499&lt;&gt;"",$D$20:$D$499-$E$20:$E$499&gt;0),$D$20:$D$499-$E$20:$E$499,IF($B$20:$B$499&lt;&gt;"",0,"")))</f>
        <v>0</v>
      </c>
      <c r="G48" s="610">
        <f>IF(AND($B$20:$B$499&lt;&gt;"",$E$20:$E$499+$F$20:$F$499&lt;$D$20:$D$499),$E$20:$E$499+$F$20:$F$499,IF($B$20:$B$499&lt;&gt;"",$D$20:$D$499,""))</f>
        <v>24114.8980934895</v>
      </c>
      <c r="H48" s="610">
        <f>IF($B$20:$B$499&lt;&gt;"",$G$20:$G$499-$I$20:$I$499,"")</f>
        <v>7026.9737703731</v>
      </c>
      <c r="I48" s="610">
        <f>IF($B$20:$B$499&lt;&gt;"",$D$20:$D$499*$E$8/$E$10,"")</f>
        <v>17087.9243231164</v>
      </c>
      <c r="J48" s="610">
        <f>IF(AND($B$20:$B$499&lt;&gt;"",$E$20:$E$499+$F$20:$F$499&lt;$D$20:$D$499),$D$20:$D$499-$H$20:$H$499,IF($B$20:$B$499&lt;&gt;"",0,""))</f>
        <v>2922331.48162102</v>
      </c>
      <c r="K48" s="610">
        <f>SUM($I$20:$I48)</f>
        <v>511263.526332216</v>
      </c>
      <c r="L48" s="371"/>
      <c r="M48" s="371"/>
      <c r="N48" s="612">
        <v>5</v>
      </c>
      <c r="O48" s="6"/>
      <c r="P48" s="6"/>
      <c r="Q48" s="6"/>
      <c r="R48" s="6"/>
      <c r="S48" s="6"/>
      <c r="T48" s="6"/>
      <c r="U48" s="7"/>
    </row>
    <row r="49" ht="13.75" customHeight="1">
      <c r="A49" s="5"/>
      <c r="B49" s="608">
        <v>30</v>
      </c>
      <c r="C49" s="609">
        <f>IF($B$20:$B$499&lt;&gt;"",DATE(YEAR($E$11),MONTH($E$11)+($B$20:$B$499)*12/$E$10,DAY($E$11)),"")</f>
        <v>46174</v>
      </c>
      <c r="D49" s="610">
        <f>IF($B$20:$B$499&lt;&gt;"",J48,"")</f>
        <v>2922331.48162102</v>
      </c>
      <c r="E49" s="610">
        <f>IF($B$20:$B$499&lt;&gt;"",$K$7,"")</f>
        <v>24114.8980934895</v>
      </c>
      <c r="F49" s="610">
        <f>IF(AND($B$20:$B$499&lt;&gt;"",$E$20:$E$499+$E$12&lt;$D$20:$D$499),$E$12,IF(AND($B$20:$B$499&lt;&gt;"",$D$20:$D$499-$E$20:$E$499&gt;0),$D$20:$D$499-$E$20:$E$499,IF($B$20:$B$499&lt;&gt;"",0,"")))</f>
        <v>0</v>
      </c>
      <c r="G49" s="610">
        <f>IF(AND($B$20:$B$499&lt;&gt;"",$E$20:$E$499+$F$20:$F$499&lt;$D$20:$D$499),$E$20:$E$499+$F$20:$F$499,IF($B$20:$B$499&lt;&gt;"",$D$20:$D$499,""))</f>
        <v>24114.8980934895</v>
      </c>
      <c r="H49" s="610">
        <f>IF($B$20:$B$499&lt;&gt;"",$G$20:$G$499-$I$20:$I$499,"")</f>
        <v>7067.9644507002</v>
      </c>
      <c r="I49" s="610">
        <f>IF($B$20:$B$499&lt;&gt;"",$D$20:$D$499*$E$8/$E$10,"")</f>
        <v>17046.9336427893</v>
      </c>
      <c r="J49" s="610">
        <f>IF(AND($B$20:$B$499&lt;&gt;"",$E$20:$E$499+$F$20:$F$499&lt;$D$20:$D$499),$D$20:$D$499-$H$20:$H$499,IF($B$20:$B$499&lt;&gt;"",0,""))</f>
        <v>2915263.51717032</v>
      </c>
      <c r="K49" s="610">
        <f>SUM($I$20:$I49)</f>
        <v>528310.459975005</v>
      </c>
      <c r="L49" s="371"/>
      <c r="M49" s="371"/>
      <c r="N49" s="611">
        <v>6</v>
      </c>
      <c r="O49" s="6"/>
      <c r="P49" s="6"/>
      <c r="Q49" s="6"/>
      <c r="R49" s="6"/>
      <c r="S49" s="6"/>
      <c r="T49" s="6"/>
      <c r="U49" s="7"/>
    </row>
    <row r="50" ht="13.75" customHeight="1">
      <c r="A50" s="5"/>
      <c r="B50" s="608">
        <v>31</v>
      </c>
      <c r="C50" s="609">
        <f>IF($B$20:$B$499&lt;&gt;"",DATE(YEAR($E$11),MONTH($E$11)+($B$20:$B$499)*12/$E$10,DAY($E$11)),"")</f>
        <v>46204</v>
      </c>
      <c r="D50" s="610">
        <f>IF($B$20:$B$499&lt;&gt;"",J49,"")</f>
        <v>2915263.51717032</v>
      </c>
      <c r="E50" s="610">
        <f>IF($B$20:$B$499&lt;&gt;"",$K$7,"")</f>
        <v>24114.8980934895</v>
      </c>
      <c r="F50" s="610">
        <f>IF(AND($B$20:$B$499&lt;&gt;"",$E$20:$E$499+$E$12&lt;$D$20:$D$499),$E$12,IF(AND($B$20:$B$499&lt;&gt;"",$D$20:$D$499-$E$20:$E$499&gt;0),$D$20:$D$499-$E$20:$E$499,IF($B$20:$B$499&lt;&gt;"",0,"")))</f>
        <v>0</v>
      </c>
      <c r="G50" s="610">
        <f>IF(AND($B$20:$B$499&lt;&gt;"",$E$20:$E$499+$F$20:$F$499&lt;$D$20:$D$499),$E$20:$E$499+$F$20:$F$499,IF($B$20:$B$499&lt;&gt;"",$D$20:$D$499,""))</f>
        <v>24114.8980934895</v>
      </c>
      <c r="H50" s="610">
        <f>IF($B$20:$B$499&lt;&gt;"",$G$20:$G$499-$I$20:$I$499,"")</f>
        <v>7109.1942433293</v>
      </c>
      <c r="I50" s="610">
        <f>IF($B$20:$B$499&lt;&gt;"",$D$20:$D$499*$E$8/$E$10,"")</f>
        <v>17005.7038501602</v>
      </c>
      <c r="J50" s="610">
        <f>IF(AND($B$20:$B$499&lt;&gt;"",$E$20:$E$499+$F$20:$F$499&lt;$D$20:$D$499),$D$20:$D$499-$H$20:$H$499,IF($B$20:$B$499&lt;&gt;"",0,""))</f>
        <v>2908154.32292699</v>
      </c>
      <c r="K50" s="610">
        <f>SUM($I$20:$I50)</f>
        <v>545316.163825165</v>
      </c>
      <c r="L50" s="371"/>
      <c r="M50" s="371"/>
      <c r="N50" s="611">
        <v>7</v>
      </c>
      <c r="O50" s="6"/>
      <c r="P50" s="6"/>
      <c r="Q50" s="6"/>
      <c r="R50" s="6"/>
      <c r="S50" s="6"/>
      <c r="T50" s="6"/>
      <c r="U50" s="7"/>
    </row>
    <row r="51" ht="13.75" customHeight="1">
      <c r="A51" s="5"/>
      <c r="B51" s="608">
        <v>32</v>
      </c>
      <c r="C51" s="609">
        <f>IF($B$20:$B$499&lt;&gt;"",DATE(YEAR($E$11),MONTH($E$11)+($B$20:$B$499)*12/$E$10,DAY($E$11)),"")</f>
        <v>46235</v>
      </c>
      <c r="D51" s="610">
        <f>IF($B$20:$B$499&lt;&gt;"",J50,"")</f>
        <v>2908154.32292699</v>
      </c>
      <c r="E51" s="610">
        <f>IF($B$20:$B$499&lt;&gt;"",$K$7,"")</f>
        <v>24114.8980934895</v>
      </c>
      <c r="F51" s="610">
        <f>IF(AND($B$20:$B$499&lt;&gt;"",$E$20:$E$499+$E$12&lt;$D$20:$D$499),$E$12,IF(AND($B$20:$B$499&lt;&gt;"",$D$20:$D$499-$E$20:$E$499&gt;0),$D$20:$D$499-$E$20:$E$499,IF($B$20:$B$499&lt;&gt;"",0,"")))</f>
        <v>0</v>
      </c>
      <c r="G51" s="610">
        <f>IF(AND($B$20:$B$499&lt;&gt;"",$E$20:$E$499+$F$20:$F$499&lt;$D$20:$D$499),$E$20:$E$499+$F$20:$F$499,IF($B$20:$B$499&lt;&gt;"",$D$20:$D$499,""))</f>
        <v>24114.8980934895</v>
      </c>
      <c r="H51" s="610">
        <f>IF($B$20:$B$499&lt;&gt;"",$G$20:$G$499-$I$20:$I$499,"")</f>
        <v>7150.6645430821</v>
      </c>
      <c r="I51" s="610">
        <f>IF($B$20:$B$499&lt;&gt;"",$D$20:$D$499*$E$8/$E$10,"")</f>
        <v>16964.2335504074</v>
      </c>
      <c r="J51" s="610">
        <f>IF(AND($B$20:$B$499&lt;&gt;"",$E$20:$E$499+$F$20:$F$499&lt;$D$20:$D$499),$D$20:$D$499-$H$20:$H$499,IF($B$20:$B$499&lt;&gt;"",0,""))</f>
        <v>2901003.65838391</v>
      </c>
      <c r="K51" s="610">
        <f>SUM($I$20:$I51)</f>
        <v>562280.3973755731</v>
      </c>
      <c r="L51" s="371"/>
      <c r="M51" s="371"/>
      <c r="N51" s="611">
        <v>8</v>
      </c>
      <c r="O51" s="6"/>
      <c r="P51" s="6"/>
      <c r="Q51" s="6"/>
      <c r="R51" s="6"/>
      <c r="S51" s="6"/>
      <c r="T51" s="6"/>
      <c r="U51" s="7"/>
    </row>
    <row r="52" ht="13.75" customHeight="1">
      <c r="A52" s="5"/>
      <c r="B52" s="608">
        <v>33</v>
      </c>
      <c r="C52" s="609">
        <f>IF($B$20:$B$499&lt;&gt;"",DATE(YEAR($E$11),MONTH($E$11)+($B$20:$B$499)*12/$E$10,DAY($E$11)),"")</f>
        <v>46266</v>
      </c>
      <c r="D52" s="610">
        <f>IF($B$20:$B$499&lt;&gt;"",J51,"")</f>
        <v>2901003.65838391</v>
      </c>
      <c r="E52" s="610">
        <f>IF($B$20:$B$499&lt;&gt;"",$K$7,"")</f>
        <v>24114.8980934895</v>
      </c>
      <c r="F52" s="610">
        <f>IF(AND($B$20:$B$499&lt;&gt;"",$E$20:$E$499+$E$12&lt;$D$20:$D$499),$E$12,IF(AND($B$20:$B$499&lt;&gt;"",$D$20:$D$499-$E$20:$E$499&gt;0),$D$20:$D$499-$E$20:$E$499,IF($B$20:$B$499&lt;&gt;"",0,"")))</f>
        <v>0</v>
      </c>
      <c r="G52" s="610">
        <f>IF(AND($B$20:$B$499&lt;&gt;"",$E$20:$E$499+$F$20:$F$499&lt;$D$20:$D$499),$E$20:$E$499+$F$20:$F$499,IF($B$20:$B$499&lt;&gt;"",$D$20:$D$499,""))</f>
        <v>24114.8980934895</v>
      </c>
      <c r="H52" s="610">
        <f>IF($B$20:$B$499&lt;&gt;"",$G$20:$G$499-$I$20:$I$499,"")</f>
        <v>7192.3767529167</v>
      </c>
      <c r="I52" s="610">
        <f>IF($B$20:$B$499&lt;&gt;"",$D$20:$D$499*$E$8/$E$10,"")</f>
        <v>16922.5213405728</v>
      </c>
      <c r="J52" s="610">
        <f>IF(AND($B$20:$B$499&lt;&gt;"",$E$20:$E$499+$F$20:$F$499&lt;$D$20:$D$499),$D$20:$D$499-$H$20:$H$499,IF($B$20:$B$499&lt;&gt;"",0,""))</f>
        <v>2893811.28163099</v>
      </c>
      <c r="K52" s="610">
        <f>SUM($I$20:$I52)</f>
        <v>579202.918716146</v>
      </c>
      <c r="L52" s="371"/>
      <c r="M52" s="371"/>
      <c r="N52" s="611">
        <v>9</v>
      </c>
      <c r="O52" s="6"/>
      <c r="P52" s="6"/>
      <c r="Q52" s="6"/>
      <c r="R52" s="6"/>
      <c r="S52" s="6"/>
      <c r="T52" s="6"/>
      <c r="U52" s="7"/>
    </row>
    <row r="53" ht="13.75" customHeight="1">
      <c r="A53" s="5"/>
      <c r="B53" s="608">
        <v>34</v>
      </c>
      <c r="C53" s="609">
        <f>IF($B$20:$B$499&lt;&gt;"",DATE(YEAR($E$11),MONTH($E$11)+($B$20:$B$499)*12/$E$10,DAY($E$11)),"")</f>
        <v>46296</v>
      </c>
      <c r="D53" s="610">
        <f>IF($B$20:$B$499&lt;&gt;"",J52,"")</f>
        <v>2893811.28163099</v>
      </c>
      <c r="E53" s="610">
        <f>IF($B$20:$B$499&lt;&gt;"",$K$7,"")</f>
        <v>24114.8980934895</v>
      </c>
      <c r="F53" s="610">
        <f>IF(AND($B$20:$B$499&lt;&gt;"",$E$20:$E$499+$E$12&lt;$D$20:$D$499),$E$12,IF(AND($B$20:$B$499&lt;&gt;"",$D$20:$D$499-$E$20:$E$499&gt;0),$D$20:$D$499-$E$20:$E$499,IF($B$20:$B$499&lt;&gt;"",0,"")))</f>
        <v>0</v>
      </c>
      <c r="G53" s="610">
        <f>IF(AND($B$20:$B$499&lt;&gt;"",$E$20:$E$499+$F$20:$F$499&lt;$D$20:$D$499),$E$20:$E$499+$F$20:$F$499,IF($B$20:$B$499&lt;&gt;"",$D$20:$D$499,""))</f>
        <v>24114.8980934895</v>
      </c>
      <c r="H53" s="610">
        <f>IF($B$20:$B$499&lt;&gt;"",$G$20:$G$499-$I$20:$I$499,"")</f>
        <v>7234.3322839754</v>
      </c>
      <c r="I53" s="610">
        <f>IF($B$20:$B$499&lt;&gt;"",$D$20:$D$499*$E$8/$E$10,"")</f>
        <v>16880.5658095141</v>
      </c>
      <c r="J53" s="610">
        <f>IF(AND($B$20:$B$499&lt;&gt;"",$E$20:$E$499+$F$20:$F$499&lt;$D$20:$D$499),$D$20:$D$499-$H$20:$H$499,IF($B$20:$B$499&lt;&gt;"",0,""))</f>
        <v>2886576.94934701</v>
      </c>
      <c r="K53" s="610">
        <f>SUM($I$20:$I53)</f>
        <v>596083.4845256601</v>
      </c>
      <c r="L53" s="371"/>
      <c r="M53" s="371"/>
      <c r="N53" s="611">
        <v>10</v>
      </c>
      <c r="O53" s="6"/>
      <c r="P53" s="6"/>
      <c r="Q53" s="6"/>
      <c r="R53" s="6"/>
      <c r="S53" s="6"/>
      <c r="T53" s="6"/>
      <c r="U53" s="7"/>
    </row>
    <row r="54" ht="13.75" customHeight="1">
      <c r="A54" s="5"/>
      <c r="B54" s="608">
        <v>35</v>
      </c>
      <c r="C54" s="609">
        <f>IF($B$20:$B$499&lt;&gt;"",DATE(YEAR($E$11),MONTH($E$11)+($B$20:$B$499)*12/$E$10,DAY($E$11)),"")</f>
        <v>46327</v>
      </c>
      <c r="D54" s="610">
        <f>IF($B$20:$B$499&lt;&gt;"",J53,"")</f>
        <v>2886576.94934701</v>
      </c>
      <c r="E54" s="610">
        <f>IF($B$20:$B$499&lt;&gt;"",$K$7,"")</f>
        <v>24114.8980934895</v>
      </c>
      <c r="F54" s="610">
        <f>IF(AND($B$20:$B$499&lt;&gt;"",$E$20:$E$499+$E$12&lt;$D$20:$D$499),$E$12,IF(AND($B$20:$B$499&lt;&gt;"",$D$20:$D$499-$E$20:$E$499&gt;0),$D$20:$D$499-$E$20:$E$499,IF($B$20:$B$499&lt;&gt;"",0,"")))</f>
        <v>0</v>
      </c>
      <c r="G54" s="610">
        <f>IF(AND($B$20:$B$499&lt;&gt;"",$E$20:$E$499+$F$20:$F$499&lt;$D$20:$D$499),$E$20:$E$499+$F$20:$F$499,IF($B$20:$B$499&lt;&gt;"",$D$20:$D$499,""))</f>
        <v>24114.8980934895</v>
      </c>
      <c r="H54" s="610">
        <f>IF($B$20:$B$499&lt;&gt;"",$G$20:$G$499-$I$20:$I$499,"")</f>
        <v>7276.5325556319</v>
      </c>
      <c r="I54" s="610">
        <f>IF($B$20:$B$499&lt;&gt;"",$D$20:$D$499*$E$8/$E$10,"")</f>
        <v>16838.3655378576</v>
      </c>
      <c r="J54" s="610">
        <f>IF(AND($B$20:$B$499&lt;&gt;"",$E$20:$E$499+$F$20:$F$499&lt;$D$20:$D$499),$D$20:$D$499-$H$20:$H$499,IF($B$20:$B$499&lt;&gt;"",0,""))</f>
        <v>2879300.41679138</v>
      </c>
      <c r="K54" s="610">
        <f>SUM($I$20:$I54)</f>
        <v>612921.850063517</v>
      </c>
      <c r="L54" s="371"/>
      <c r="M54" s="371"/>
      <c r="N54" s="611">
        <v>11</v>
      </c>
      <c r="O54" s="6"/>
      <c r="P54" s="6"/>
      <c r="Q54" s="6"/>
      <c r="R54" s="6"/>
      <c r="S54" s="6"/>
      <c r="T54" s="6"/>
      <c r="U54" s="7"/>
    </row>
    <row r="55" ht="13.75" customHeight="1">
      <c r="A55" s="5"/>
      <c r="B55" s="608">
        <v>36</v>
      </c>
      <c r="C55" s="609">
        <f>IF($B$20:$B$499&lt;&gt;"",DATE(YEAR($E$11),MONTH($E$11)+($B$20:$B$499)*12/$E$10,DAY($E$11)),"")</f>
        <v>46357</v>
      </c>
      <c r="D55" s="610">
        <f>IF($B$20:$B$499&lt;&gt;"",J54,"")</f>
        <v>2879300.41679138</v>
      </c>
      <c r="E55" s="610">
        <f>IF($B$20:$B$499&lt;&gt;"",$K$7,"")</f>
        <v>24114.8980934895</v>
      </c>
      <c r="F55" s="610">
        <f>IF(AND($B$20:$B$499&lt;&gt;"",$E$20:$E$499+$E$12&lt;$D$20:$D$499),$E$12,IF(AND($B$20:$B$499&lt;&gt;"",$D$20:$D$499-$E$20:$E$499&gt;0),$D$20:$D$499-$E$20:$E$499,IF($B$20:$B$499&lt;&gt;"",0,"")))</f>
        <v>0</v>
      </c>
      <c r="G55" s="610">
        <f>IF(AND($B$20:$B$499&lt;&gt;"",$E$20:$E$499+$F$20:$F$499&lt;$D$20:$D$499),$E$20:$E$499+$F$20:$F$499,IF($B$20:$B$499&lt;&gt;"",$D$20:$D$499,""))</f>
        <v>24114.8980934895</v>
      </c>
      <c r="H55" s="610">
        <f>IF($B$20:$B$499&lt;&gt;"",$G$20:$G$499-$I$20:$I$499,"")</f>
        <v>7318.9789955398</v>
      </c>
      <c r="I55" s="610">
        <f>IF($B$20:$B$499&lt;&gt;"",$D$20:$D$499*$E$8/$E$10,"")</f>
        <v>16795.9190979497</v>
      </c>
      <c r="J55" s="610">
        <f>IF(AND($B$20:$B$499&lt;&gt;"",$E$20:$E$499+$F$20:$F$499&lt;$D$20:$D$499),$D$20:$D$499-$H$20:$H$499,IF($B$20:$B$499&lt;&gt;"",0,""))</f>
        <v>2871981.43779584</v>
      </c>
      <c r="K55" s="610">
        <f>SUM($I$20:$I55)</f>
        <v>629717.769161467</v>
      </c>
      <c r="L55" s="371">
        <f>SUM(H44:H55)</f>
        <v>85079.739752733207</v>
      </c>
      <c r="M55" s="371">
        <f>SUM(I44:I55)</f>
        <v>204299.037369141</v>
      </c>
      <c r="N55" s="611">
        <v>12</v>
      </c>
      <c r="O55" s="6"/>
      <c r="P55" s="6"/>
      <c r="Q55" s="6"/>
      <c r="R55" s="6"/>
      <c r="S55" s="6"/>
      <c r="T55" s="6"/>
      <c r="U55" s="7"/>
    </row>
    <row r="56" ht="13.75" customHeight="1">
      <c r="A56" s="5"/>
      <c r="B56" s="608">
        <v>37</v>
      </c>
      <c r="C56" s="609">
        <f>IF($B$20:$B$499&lt;&gt;"",DATE(YEAR($E$11),MONTH($E$11)+($B$20:$B$499)*12/$E$10,DAY($E$11)),"")</f>
        <v>46388</v>
      </c>
      <c r="D56" s="610">
        <f>IF($B$20:$B$499&lt;&gt;"",J55,"")</f>
        <v>2871981.43779584</v>
      </c>
      <c r="E56" s="610">
        <f>IF($B$20:$B$499&lt;&gt;"",$K$7,"")</f>
        <v>24114.8980934895</v>
      </c>
      <c r="F56" s="610">
        <f>IF(AND($B$20:$B$499&lt;&gt;"",$E$20:$E$499+$E$12&lt;$D$20:$D$499),$E$12,IF(AND($B$20:$B$499&lt;&gt;"",$D$20:$D$499-$E$20:$E$499&gt;0),$D$20:$D$499-$E$20:$E$499,IF($B$20:$B$499&lt;&gt;"",0,"")))</f>
        <v>0</v>
      </c>
      <c r="G56" s="610">
        <f>IF(AND($B$20:$B$499&lt;&gt;"",$E$20:$E$499+$F$20:$F$499&lt;$D$20:$D$499),$E$20:$E$499+$F$20:$F$499,IF($B$20:$B$499&lt;&gt;"",$D$20:$D$499,""))</f>
        <v>24114.8980934895</v>
      </c>
      <c r="H56" s="610">
        <f>IF($B$20:$B$499&lt;&gt;"",$G$20:$G$499-$I$20:$I$499,"")</f>
        <v>7361.6730396804</v>
      </c>
      <c r="I56" s="610">
        <f>IF($B$20:$B$499&lt;&gt;"",$D$20:$D$499*$E$8/$E$10,"")</f>
        <v>16753.2250538091</v>
      </c>
      <c r="J56" s="610">
        <f>IF(AND($B$20:$B$499&lt;&gt;"",$E$20:$E$499+$F$20:$F$499&lt;$D$20:$D$499),$D$20:$D$499-$H$20:$H$499,IF($B$20:$B$499&lt;&gt;"",0,""))</f>
        <v>2864619.76475616</v>
      </c>
      <c r="K56" s="610">
        <f>SUM($I$20:$I56)</f>
        <v>646470.994215276</v>
      </c>
      <c r="L56" s="371"/>
      <c r="M56" s="371"/>
      <c r="N56" s="612">
        <v>1</v>
      </c>
      <c r="O56" s="6"/>
      <c r="P56" s="6"/>
      <c r="Q56" s="6"/>
      <c r="R56" s="6"/>
      <c r="S56" s="6"/>
      <c r="T56" s="6"/>
      <c r="U56" s="7"/>
    </row>
    <row r="57" ht="13.75" customHeight="1">
      <c r="A57" s="5"/>
      <c r="B57" s="608">
        <v>38</v>
      </c>
      <c r="C57" s="609">
        <f>IF($B$20:$B$499&lt;&gt;"",DATE(YEAR($E$11),MONTH($E$11)+($B$20:$B$499)*12/$E$10,DAY($E$11)),"")</f>
        <v>46419</v>
      </c>
      <c r="D57" s="610">
        <f>IF($B$20:$B$499&lt;&gt;"",J56,"")</f>
        <v>2864619.76475616</v>
      </c>
      <c r="E57" s="610">
        <f>IF($B$20:$B$499&lt;&gt;"",$K$7,"")</f>
        <v>24114.8980934895</v>
      </c>
      <c r="F57" s="610">
        <f>IF(AND($B$20:$B$499&lt;&gt;"",$E$20:$E$499+$E$12&lt;$D$20:$D$499),$E$12,IF(AND($B$20:$B$499&lt;&gt;"",$D$20:$D$499-$E$20:$E$499&gt;0),$D$20:$D$499-$E$20:$E$499,IF($B$20:$B$499&lt;&gt;"",0,"")))</f>
        <v>0</v>
      </c>
      <c r="G57" s="610">
        <f>IF(AND($B$20:$B$499&lt;&gt;"",$E$20:$E$499+$F$20:$F$499&lt;$D$20:$D$499),$E$20:$E$499+$F$20:$F$499,IF($B$20:$B$499&lt;&gt;"",$D$20:$D$499,""))</f>
        <v>24114.8980934895</v>
      </c>
      <c r="H57" s="610">
        <f>IF($B$20:$B$499&lt;&gt;"",$G$20:$G$499-$I$20:$I$499,"")</f>
        <v>7404.6161324119</v>
      </c>
      <c r="I57" s="610">
        <f>IF($B$20:$B$499&lt;&gt;"",$D$20:$D$499*$E$8/$E$10,"")</f>
        <v>16710.2819610776</v>
      </c>
      <c r="J57" s="610">
        <f>IF(AND($B$20:$B$499&lt;&gt;"",$E$20:$E$499+$F$20:$F$499&lt;$D$20:$D$499),$D$20:$D$499-$H$20:$H$499,IF($B$20:$B$499&lt;&gt;"",0,""))</f>
        <v>2857215.14862375</v>
      </c>
      <c r="K57" s="610">
        <f>SUM($I$20:$I57)</f>
        <v>663181.276176354</v>
      </c>
      <c r="L57" s="371"/>
      <c r="M57" s="371"/>
      <c r="N57" s="612">
        <v>2</v>
      </c>
      <c r="O57" s="6"/>
      <c r="P57" s="6"/>
      <c r="Q57" s="6"/>
      <c r="R57" s="6"/>
      <c r="S57" s="6"/>
      <c r="T57" s="6"/>
      <c r="U57" s="7"/>
    </row>
    <row r="58" ht="13.75" customHeight="1">
      <c r="A58" s="5"/>
      <c r="B58" s="608">
        <v>39</v>
      </c>
      <c r="C58" s="609">
        <f>IF($B$20:$B$499&lt;&gt;"",DATE(YEAR($E$11),MONTH($E$11)+($B$20:$B$499)*12/$E$10,DAY($E$11)),"")</f>
        <v>46447</v>
      </c>
      <c r="D58" s="610">
        <f>IF($B$20:$B$499&lt;&gt;"",J57,"")</f>
        <v>2857215.14862375</v>
      </c>
      <c r="E58" s="610">
        <f>IF($B$20:$B$499&lt;&gt;"",$K$7,"")</f>
        <v>24114.8980934895</v>
      </c>
      <c r="F58" s="610">
        <f>IF(AND($B$20:$B$499&lt;&gt;"",$E$20:$E$499+$E$12&lt;$D$20:$D$499),$E$12,IF(AND($B$20:$B$499&lt;&gt;"",$D$20:$D$499-$E$20:$E$499&gt;0),$D$20:$D$499-$E$20:$E$499,IF($B$20:$B$499&lt;&gt;"",0,"")))</f>
        <v>0</v>
      </c>
      <c r="G58" s="610">
        <f>IF(AND($B$20:$B$499&lt;&gt;"",$E$20:$E$499+$F$20:$F$499&lt;$D$20:$D$499),$E$20:$E$499+$F$20:$F$499,IF($B$20:$B$499&lt;&gt;"",$D$20:$D$499,""))</f>
        <v>24114.8980934895</v>
      </c>
      <c r="H58" s="610">
        <f>IF($B$20:$B$499&lt;&gt;"",$G$20:$G$499-$I$20:$I$499,"")</f>
        <v>7447.8097265176</v>
      </c>
      <c r="I58" s="610">
        <f>IF($B$20:$B$499&lt;&gt;"",$D$20:$D$499*$E$8/$E$10,"")</f>
        <v>16667.0883669719</v>
      </c>
      <c r="J58" s="610">
        <f>IF(AND($B$20:$B$499&lt;&gt;"",$E$20:$E$499+$F$20:$F$499&lt;$D$20:$D$499),$D$20:$D$499-$H$20:$H$499,IF($B$20:$B$499&lt;&gt;"",0,""))</f>
        <v>2849767.33889723</v>
      </c>
      <c r="K58" s="610">
        <f>SUM($I$20:$I58)</f>
        <v>679848.364543326</v>
      </c>
      <c r="L58" s="371"/>
      <c r="M58" s="371"/>
      <c r="N58" s="612">
        <v>3</v>
      </c>
      <c r="O58" s="6"/>
      <c r="P58" s="6"/>
      <c r="Q58" s="6"/>
      <c r="R58" s="6"/>
      <c r="S58" s="6"/>
      <c r="T58" s="6"/>
      <c r="U58" s="7"/>
    </row>
    <row r="59" ht="13.75" customHeight="1">
      <c r="A59" s="5"/>
      <c r="B59" s="608">
        <v>40</v>
      </c>
      <c r="C59" s="609">
        <f>IF($B$20:$B$499&lt;&gt;"",DATE(YEAR($E$11),MONTH($E$11)+($B$20:$B$499)*12/$E$10,DAY($E$11)),"")</f>
        <v>46478</v>
      </c>
      <c r="D59" s="610">
        <f>IF($B$20:$B$499&lt;&gt;"",J58,"")</f>
        <v>2849767.33889723</v>
      </c>
      <c r="E59" s="610">
        <f>IF($B$20:$B$499&lt;&gt;"",$K$7,"")</f>
        <v>24114.8980934895</v>
      </c>
      <c r="F59" s="610">
        <f>IF(AND($B$20:$B$499&lt;&gt;"",$E$20:$E$499+$E$12&lt;$D$20:$D$499),$E$12,IF(AND($B$20:$B$499&lt;&gt;"",$D$20:$D$499-$E$20:$E$499&gt;0),$D$20:$D$499-$E$20:$E$499,IF($B$20:$B$499&lt;&gt;"",0,"")))</f>
        <v>0</v>
      </c>
      <c r="G59" s="610">
        <f>IF(AND($B$20:$B$499&lt;&gt;"",$E$20:$E$499+$F$20:$F$499&lt;$D$20:$D$499),$E$20:$E$499+$F$20:$F$499,IF($B$20:$B$499&lt;&gt;"",$D$20:$D$499,""))</f>
        <v>24114.8980934895</v>
      </c>
      <c r="H59" s="610">
        <f>IF($B$20:$B$499&lt;&gt;"",$G$20:$G$499-$I$20:$I$499,"")</f>
        <v>7491.2552832557</v>
      </c>
      <c r="I59" s="610">
        <f>IF($B$20:$B$499&lt;&gt;"",$D$20:$D$499*$E$8/$E$10,"")</f>
        <v>16623.6428102338</v>
      </c>
      <c r="J59" s="610">
        <f>IF(AND($B$20:$B$499&lt;&gt;"",$E$20:$E$499+$F$20:$F$499&lt;$D$20:$D$499),$D$20:$D$499-$H$20:$H$499,IF($B$20:$B$499&lt;&gt;"",0,""))</f>
        <v>2842276.08361397</v>
      </c>
      <c r="K59" s="610">
        <f>SUM($I$20:$I59)</f>
        <v>696472.007353559</v>
      </c>
      <c r="L59" s="371"/>
      <c r="M59" s="371"/>
      <c r="N59" s="612">
        <v>4</v>
      </c>
      <c r="O59" s="6"/>
      <c r="P59" s="6"/>
      <c r="Q59" s="6"/>
      <c r="R59" s="6"/>
      <c r="S59" s="6"/>
      <c r="T59" s="6"/>
      <c r="U59" s="7"/>
    </row>
    <row r="60" ht="13.75" customHeight="1">
      <c r="A60" s="5"/>
      <c r="B60" s="608">
        <v>41</v>
      </c>
      <c r="C60" s="609">
        <f>IF($B$20:$B$499&lt;&gt;"",DATE(YEAR($E$11),MONTH($E$11)+($B$20:$B$499)*12/$E$10,DAY($E$11)),"")</f>
        <v>46508</v>
      </c>
      <c r="D60" s="610">
        <f>IF($B$20:$B$499&lt;&gt;"",J59,"")</f>
        <v>2842276.08361397</v>
      </c>
      <c r="E60" s="610">
        <f>IF($B$20:$B$499&lt;&gt;"",$K$7,"")</f>
        <v>24114.8980934895</v>
      </c>
      <c r="F60" s="610">
        <f>IF(AND($B$20:$B$499&lt;&gt;"",$E$20:$E$499+$E$12&lt;$D$20:$D$499),$E$12,IF(AND($B$20:$B$499&lt;&gt;"",$D$20:$D$499-$E$20:$E$499&gt;0),$D$20:$D$499-$E$20:$E$499,IF($B$20:$B$499&lt;&gt;"",0,"")))</f>
        <v>0</v>
      </c>
      <c r="G60" s="610">
        <f>IF(AND($B$20:$B$499&lt;&gt;"",$E$20:$E$499+$F$20:$F$499&lt;$D$20:$D$499),$E$20:$E$499+$F$20:$F$499,IF($B$20:$B$499&lt;&gt;"",$D$20:$D$499,""))</f>
        <v>24114.8980934895</v>
      </c>
      <c r="H60" s="610">
        <f>IF($B$20:$B$499&lt;&gt;"",$G$20:$G$499-$I$20:$I$499,"")</f>
        <v>7534.954272408</v>
      </c>
      <c r="I60" s="610">
        <f>IF($B$20:$B$499&lt;&gt;"",$D$20:$D$499*$E$8/$E$10,"")</f>
        <v>16579.9438210815</v>
      </c>
      <c r="J60" s="610">
        <f>IF(AND($B$20:$B$499&lt;&gt;"",$E$20:$E$499+$F$20:$F$499&lt;$D$20:$D$499),$D$20:$D$499-$H$20:$H$499,IF($B$20:$B$499&lt;&gt;"",0,""))</f>
        <v>2834741.12934156</v>
      </c>
      <c r="K60" s="610">
        <f>SUM($I$20:$I60)</f>
        <v>713051.951174641</v>
      </c>
      <c r="L60" s="371"/>
      <c r="M60" s="371"/>
      <c r="N60" s="612">
        <v>5</v>
      </c>
      <c r="O60" s="6"/>
      <c r="P60" s="6"/>
      <c r="Q60" s="6"/>
      <c r="R60" s="6"/>
      <c r="S60" s="6"/>
      <c r="T60" s="6"/>
      <c r="U60" s="7"/>
    </row>
    <row r="61" ht="13.75" customHeight="1">
      <c r="A61" s="5"/>
      <c r="B61" s="608">
        <v>42</v>
      </c>
      <c r="C61" s="609">
        <f>IF($B$20:$B$499&lt;&gt;"",DATE(YEAR($E$11),MONTH($E$11)+($B$20:$B$499)*12/$E$10,DAY($E$11)),"")</f>
        <v>46539</v>
      </c>
      <c r="D61" s="610">
        <f>IF($B$20:$B$499&lt;&gt;"",J60,"")</f>
        <v>2834741.12934156</v>
      </c>
      <c r="E61" s="610">
        <f>IF($B$20:$B$499&lt;&gt;"",$K$7,"")</f>
        <v>24114.8980934895</v>
      </c>
      <c r="F61" s="610">
        <f>IF(AND($B$20:$B$499&lt;&gt;"",$E$20:$E$499+$E$12&lt;$D$20:$D$499),$E$12,IF(AND($B$20:$B$499&lt;&gt;"",$D$20:$D$499-$E$20:$E$499&gt;0),$D$20:$D$499-$E$20:$E$499,IF($B$20:$B$499&lt;&gt;"",0,"")))</f>
        <v>0</v>
      </c>
      <c r="G61" s="610">
        <f>IF(AND($B$20:$B$499&lt;&gt;"",$E$20:$E$499+$F$20:$F$499&lt;$D$20:$D$499),$E$20:$E$499+$F$20:$F$499,IF($B$20:$B$499&lt;&gt;"",$D$20:$D$499,""))</f>
        <v>24114.8980934895</v>
      </c>
      <c r="H61" s="610">
        <f>IF($B$20:$B$499&lt;&gt;"",$G$20:$G$499-$I$20:$I$499,"")</f>
        <v>7578.9081723304</v>
      </c>
      <c r="I61" s="610">
        <f>IF($B$20:$B$499&lt;&gt;"",$D$20:$D$499*$E$8/$E$10,"")</f>
        <v>16535.9899211591</v>
      </c>
      <c r="J61" s="610">
        <f>IF(AND($B$20:$B$499&lt;&gt;"",$E$20:$E$499+$F$20:$F$499&lt;$D$20:$D$499),$D$20:$D$499-$H$20:$H$499,IF($B$20:$B$499&lt;&gt;"",0,""))</f>
        <v>2827162.22116923</v>
      </c>
      <c r="K61" s="610">
        <f>SUM($I$20:$I61)</f>
        <v>729587.9410958</v>
      </c>
      <c r="L61" s="371"/>
      <c r="M61" s="371"/>
      <c r="N61" s="611">
        <v>6</v>
      </c>
      <c r="O61" s="6"/>
      <c r="P61" s="6"/>
      <c r="Q61" s="6"/>
      <c r="R61" s="6"/>
      <c r="S61" s="6"/>
      <c r="T61" s="6"/>
      <c r="U61" s="7"/>
    </row>
    <row r="62" ht="13.75" customHeight="1">
      <c r="A62" s="5"/>
      <c r="B62" s="608">
        <v>43</v>
      </c>
      <c r="C62" s="609">
        <f>IF($B$20:$B$499&lt;&gt;"",DATE(YEAR($E$11),MONTH($E$11)+($B$20:$B$499)*12/$E$10,DAY($E$11)),"")</f>
        <v>46569</v>
      </c>
      <c r="D62" s="610">
        <f>IF($B$20:$B$499&lt;&gt;"",J61,"")</f>
        <v>2827162.22116923</v>
      </c>
      <c r="E62" s="610">
        <f>IF($B$20:$B$499&lt;&gt;"",$K$7,"")</f>
        <v>24114.8980934895</v>
      </c>
      <c r="F62" s="610">
        <f>IF(AND($B$20:$B$499&lt;&gt;"",$E$20:$E$499+$E$12&lt;$D$20:$D$499),$E$12,IF(AND($B$20:$B$499&lt;&gt;"",$D$20:$D$499-$E$20:$E$499&gt;0),$D$20:$D$499-$E$20:$E$499,IF($B$20:$B$499&lt;&gt;"",0,"")))</f>
        <v>0</v>
      </c>
      <c r="G62" s="610">
        <f>IF(AND($B$20:$B$499&lt;&gt;"",$E$20:$E$499+$F$20:$F$499&lt;$D$20:$D$499),$E$20:$E$499+$F$20:$F$499,IF($B$20:$B$499&lt;&gt;"",$D$20:$D$499,""))</f>
        <v>24114.8980934895</v>
      </c>
      <c r="H62" s="610">
        <f>IF($B$20:$B$499&lt;&gt;"",$G$20:$G$499-$I$20:$I$499,"")</f>
        <v>7623.1184700023</v>
      </c>
      <c r="I62" s="610">
        <f>IF($B$20:$B$499&lt;&gt;"",$D$20:$D$499*$E$8/$E$10,"")</f>
        <v>16491.7796234872</v>
      </c>
      <c r="J62" s="610">
        <f>IF(AND($B$20:$B$499&lt;&gt;"",$E$20:$E$499+$F$20:$F$499&lt;$D$20:$D$499),$D$20:$D$499-$H$20:$H$499,IF($B$20:$B$499&lt;&gt;"",0,""))</f>
        <v>2819539.10269923</v>
      </c>
      <c r="K62" s="610">
        <f>SUM($I$20:$I62)</f>
        <v>746079.7207192871</v>
      </c>
      <c r="L62" s="371"/>
      <c r="M62" s="371"/>
      <c r="N62" s="611">
        <v>7</v>
      </c>
      <c r="O62" s="6"/>
      <c r="P62" s="6"/>
      <c r="Q62" s="6"/>
      <c r="R62" s="6"/>
      <c r="S62" s="6"/>
      <c r="T62" s="6"/>
      <c r="U62" s="7"/>
    </row>
    <row r="63" ht="13.75" customHeight="1">
      <c r="A63" s="5"/>
      <c r="B63" s="608">
        <v>44</v>
      </c>
      <c r="C63" s="609">
        <f>IF($B$20:$B$499&lt;&gt;"",DATE(YEAR($E$11),MONTH($E$11)+($B$20:$B$499)*12/$E$10,DAY($E$11)),"")</f>
        <v>46600</v>
      </c>
      <c r="D63" s="610">
        <f>IF($B$20:$B$499&lt;&gt;"",J62,"")</f>
        <v>2819539.10269923</v>
      </c>
      <c r="E63" s="610">
        <f>IF($B$20:$B$499&lt;&gt;"",$K$7,"")</f>
        <v>24114.8980934895</v>
      </c>
      <c r="F63" s="610">
        <f>IF(AND($B$20:$B$499&lt;&gt;"",$E$20:$E$499+$E$12&lt;$D$20:$D$499),$E$12,IF(AND($B$20:$B$499&lt;&gt;"",$D$20:$D$499-$E$20:$E$499&gt;0),$D$20:$D$499-$E$20:$E$499,IF($B$20:$B$499&lt;&gt;"",0,"")))</f>
        <v>0</v>
      </c>
      <c r="G63" s="610">
        <f>IF(AND($B$20:$B$499&lt;&gt;"",$E$20:$E$499+$F$20:$F$499&lt;$D$20:$D$499),$E$20:$E$499+$F$20:$F$499,IF($B$20:$B$499&lt;&gt;"",$D$20:$D$499,""))</f>
        <v>24114.8980934895</v>
      </c>
      <c r="H63" s="610">
        <f>IF($B$20:$B$499&lt;&gt;"",$G$20:$G$499-$I$20:$I$499,"")</f>
        <v>7667.5866610773</v>
      </c>
      <c r="I63" s="610">
        <f>IF($B$20:$B$499&lt;&gt;"",$D$20:$D$499*$E$8/$E$10,"")</f>
        <v>16447.3114324122</v>
      </c>
      <c r="J63" s="610">
        <f>IF(AND($B$20:$B$499&lt;&gt;"",$E$20:$E$499+$F$20:$F$499&lt;$D$20:$D$499),$D$20:$D$499-$H$20:$H$499,IF($B$20:$B$499&lt;&gt;"",0,""))</f>
        <v>2811871.51603815</v>
      </c>
      <c r="K63" s="610">
        <f>SUM($I$20:$I63)</f>
        <v>762527.0321516989</v>
      </c>
      <c r="L63" s="371"/>
      <c r="M63" s="371"/>
      <c r="N63" s="611">
        <v>8</v>
      </c>
      <c r="O63" s="6"/>
      <c r="P63" s="6"/>
      <c r="Q63" s="6"/>
      <c r="R63" s="6"/>
      <c r="S63" s="6"/>
      <c r="T63" s="6"/>
      <c r="U63" s="7"/>
    </row>
    <row r="64" ht="13.75" customHeight="1">
      <c r="A64" s="5"/>
      <c r="B64" s="608">
        <v>45</v>
      </c>
      <c r="C64" s="609">
        <f>IF($B$20:$B$499&lt;&gt;"",DATE(YEAR($E$11),MONTH($E$11)+($B$20:$B$499)*12/$E$10,DAY($E$11)),"")</f>
        <v>46631</v>
      </c>
      <c r="D64" s="610">
        <f>IF($B$20:$B$499&lt;&gt;"",J63,"")</f>
        <v>2811871.51603815</v>
      </c>
      <c r="E64" s="610">
        <f>IF($B$20:$B$499&lt;&gt;"",$K$7,"")</f>
        <v>24114.8980934895</v>
      </c>
      <c r="F64" s="610">
        <f>IF(AND($B$20:$B$499&lt;&gt;"",$E$20:$E$499+$E$12&lt;$D$20:$D$499),$E$12,IF(AND($B$20:$B$499&lt;&gt;"",$D$20:$D$499-$E$20:$E$499&gt;0),$D$20:$D$499-$E$20:$E$499,IF($B$20:$B$499&lt;&gt;"",0,"")))</f>
        <v>0</v>
      </c>
      <c r="G64" s="610">
        <f>IF(AND($B$20:$B$499&lt;&gt;"",$E$20:$E$499+$F$20:$F$499&lt;$D$20:$D$499),$E$20:$E$499+$F$20:$F$499,IF($B$20:$B$499&lt;&gt;"",$D$20:$D$499,""))</f>
        <v>24114.8980934895</v>
      </c>
      <c r="H64" s="610">
        <f>IF($B$20:$B$499&lt;&gt;"",$G$20:$G$499-$I$20:$I$499,"")</f>
        <v>7712.3142499336</v>
      </c>
      <c r="I64" s="610">
        <f>IF($B$20:$B$499&lt;&gt;"",$D$20:$D$499*$E$8/$E$10,"")</f>
        <v>16402.5838435559</v>
      </c>
      <c r="J64" s="610">
        <f>IF(AND($B$20:$B$499&lt;&gt;"",$E$20:$E$499+$F$20:$F$499&lt;$D$20:$D$499),$D$20:$D$499-$H$20:$H$499,IF($B$20:$B$499&lt;&gt;"",0,""))</f>
        <v>2804159.20178822</v>
      </c>
      <c r="K64" s="610">
        <f>SUM($I$20:$I64)</f>
        <v>778929.6159952549</v>
      </c>
      <c r="L64" s="371"/>
      <c r="M64" s="371"/>
      <c r="N64" s="611">
        <v>9</v>
      </c>
      <c r="O64" s="6"/>
      <c r="P64" s="6"/>
      <c r="Q64" s="6"/>
      <c r="R64" s="6"/>
      <c r="S64" s="6"/>
      <c r="T64" s="6"/>
      <c r="U64" s="7"/>
    </row>
    <row r="65" ht="13.75" customHeight="1">
      <c r="A65" s="5"/>
      <c r="B65" s="608">
        <v>46</v>
      </c>
      <c r="C65" s="609">
        <f>IF($B$20:$B$499&lt;&gt;"",DATE(YEAR($E$11),MONTH($E$11)+($B$20:$B$499)*12/$E$10,DAY($E$11)),"")</f>
        <v>46661</v>
      </c>
      <c r="D65" s="610">
        <f>IF($B$20:$B$499&lt;&gt;"",J64,"")</f>
        <v>2804159.20178822</v>
      </c>
      <c r="E65" s="610">
        <f>IF($B$20:$B$499&lt;&gt;"",$K$7,"")</f>
        <v>24114.8980934895</v>
      </c>
      <c r="F65" s="610">
        <f>IF(AND($B$20:$B$499&lt;&gt;"",$E$20:$E$499+$E$12&lt;$D$20:$D$499),$E$12,IF(AND($B$20:$B$499&lt;&gt;"",$D$20:$D$499-$E$20:$E$499&gt;0),$D$20:$D$499-$E$20:$E$499,IF($B$20:$B$499&lt;&gt;"",0,"")))</f>
        <v>0</v>
      </c>
      <c r="G65" s="610">
        <f>IF(AND($B$20:$B$499&lt;&gt;"",$E$20:$E$499+$F$20:$F$499&lt;$D$20:$D$499),$E$20:$E$499+$F$20:$F$499,IF($B$20:$B$499&lt;&gt;"",$D$20:$D$499,""))</f>
        <v>24114.8980934895</v>
      </c>
      <c r="H65" s="610">
        <f>IF($B$20:$B$499&lt;&gt;"",$G$20:$G$499-$I$20:$I$499,"")</f>
        <v>7757.3027497249</v>
      </c>
      <c r="I65" s="610">
        <f>IF($B$20:$B$499&lt;&gt;"",$D$20:$D$499*$E$8/$E$10,"")</f>
        <v>16357.5953437646</v>
      </c>
      <c r="J65" s="610">
        <f>IF(AND($B$20:$B$499&lt;&gt;"",$E$20:$E$499+$F$20:$F$499&lt;$D$20:$D$499),$D$20:$D$499-$H$20:$H$499,IF($B$20:$B$499&lt;&gt;"",0,""))</f>
        <v>2796401.8990385</v>
      </c>
      <c r="K65" s="610">
        <f>SUM($I$20:$I65)</f>
        <v>795287.2113390201</v>
      </c>
      <c r="L65" s="371"/>
      <c r="M65" s="371"/>
      <c r="N65" s="611">
        <v>10</v>
      </c>
      <c r="O65" s="6"/>
      <c r="P65" s="6"/>
      <c r="Q65" s="6"/>
      <c r="R65" s="6"/>
      <c r="S65" s="6"/>
      <c r="T65" s="6"/>
      <c r="U65" s="7"/>
    </row>
    <row r="66" ht="13.75" customHeight="1">
      <c r="A66" s="5"/>
      <c r="B66" s="608">
        <v>47</v>
      </c>
      <c r="C66" s="609">
        <f>IF($B$20:$B$499&lt;&gt;"",DATE(YEAR($E$11),MONTH($E$11)+($B$20:$B$499)*12/$E$10,DAY($E$11)),"")</f>
        <v>46692</v>
      </c>
      <c r="D66" s="610">
        <f>IF($B$20:$B$499&lt;&gt;"",J65,"")</f>
        <v>2796401.8990385</v>
      </c>
      <c r="E66" s="610">
        <f>IF($B$20:$B$499&lt;&gt;"",$K$7,"")</f>
        <v>24114.8980934895</v>
      </c>
      <c r="F66" s="610">
        <f>IF(AND($B$20:$B$499&lt;&gt;"",$E$20:$E$499+$E$12&lt;$D$20:$D$499),$E$12,IF(AND($B$20:$B$499&lt;&gt;"",$D$20:$D$499-$E$20:$E$499&gt;0),$D$20:$D$499-$E$20:$E$499,IF($B$20:$B$499&lt;&gt;"",0,"")))</f>
        <v>0</v>
      </c>
      <c r="G66" s="610">
        <f>IF(AND($B$20:$B$499&lt;&gt;"",$E$20:$E$499+$F$20:$F$499&lt;$D$20:$D$499),$E$20:$E$499+$F$20:$F$499,IF($B$20:$B$499&lt;&gt;"",$D$20:$D$499,""))</f>
        <v>24114.8980934895</v>
      </c>
      <c r="H66" s="610">
        <f>IF($B$20:$B$499&lt;&gt;"",$G$20:$G$499-$I$20:$I$499,"")</f>
        <v>7802.5536824316</v>
      </c>
      <c r="I66" s="610">
        <f>IF($B$20:$B$499&lt;&gt;"",$D$20:$D$499*$E$8/$E$10,"")</f>
        <v>16312.3444110579</v>
      </c>
      <c r="J66" s="610">
        <f>IF(AND($B$20:$B$499&lt;&gt;"",$E$20:$E$499+$F$20:$F$499&lt;$D$20:$D$499),$D$20:$D$499-$H$20:$H$499,IF($B$20:$B$499&lt;&gt;"",0,""))</f>
        <v>2788599.34535607</v>
      </c>
      <c r="K66" s="610">
        <f>SUM($I$20:$I66)</f>
        <v>811599.5557500781</v>
      </c>
      <c r="L66" s="371"/>
      <c r="M66" s="371"/>
      <c r="N66" s="611">
        <v>11</v>
      </c>
      <c r="O66" s="6"/>
      <c r="P66" s="6"/>
      <c r="Q66" s="6"/>
      <c r="R66" s="6"/>
      <c r="S66" s="6"/>
      <c r="T66" s="6"/>
      <c r="U66" s="7"/>
    </row>
    <row r="67" ht="13.75" customHeight="1">
      <c r="A67" s="5"/>
      <c r="B67" s="608">
        <v>48</v>
      </c>
      <c r="C67" s="609">
        <f>IF($B$20:$B$499&lt;&gt;"",DATE(YEAR($E$11),MONTH($E$11)+($B$20:$B$499)*12/$E$10,DAY($E$11)),"")</f>
        <v>46722</v>
      </c>
      <c r="D67" s="610">
        <f>IF($B$20:$B$499&lt;&gt;"",J66,"")</f>
        <v>2788599.34535607</v>
      </c>
      <c r="E67" s="610">
        <f>IF($B$20:$B$499&lt;&gt;"",$K$7,"")</f>
        <v>24114.8980934895</v>
      </c>
      <c r="F67" s="610">
        <f>IF(AND($B$20:$B$499&lt;&gt;"",$E$20:$E$499+$E$12&lt;$D$20:$D$499),$E$12,IF(AND($B$20:$B$499&lt;&gt;"",$D$20:$D$499-$E$20:$E$499&gt;0),$D$20:$D$499-$E$20:$E$499,IF($B$20:$B$499&lt;&gt;"",0,"")))</f>
        <v>0</v>
      </c>
      <c r="G67" s="610">
        <f>IF(AND($B$20:$B$499&lt;&gt;"",$E$20:$E$499+$F$20:$F$499&lt;$D$20:$D$499),$E$20:$E$499+$F$20:$F$499,IF($B$20:$B$499&lt;&gt;"",$D$20:$D$499,""))</f>
        <v>24114.8980934895</v>
      </c>
      <c r="H67" s="610">
        <f>IF($B$20:$B$499&lt;&gt;"",$G$20:$G$499-$I$20:$I$499,"")</f>
        <v>7848.0685789124</v>
      </c>
      <c r="I67" s="610">
        <f>IF($B$20:$B$499&lt;&gt;"",$D$20:$D$499*$E$8/$E$10,"")</f>
        <v>16266.8295145771</v>
      </c>
      <c r="J67" s="610">
        <f>IF(AND($B$20:$B$499&lt;&gt;"",$E$20:$E$499+$F$20:$F$499&lt;$D$20:$D$499),$D$20:$D$499-$H$20:$H$499,IF($B$20:$B$499&lt;&gt;"",0,""))</f>
        <v>2780751.27677716</v>
      </c>
      <c r="K67" s="610">
        <f>SUM($I$20:$I67)</f>
        <v>827866.385264655</v>
      </c>
      <c r="L67" s="371">
        <f>SUM(H56:H67)</f>
        <v>91230.161018686107</v>
      </c>
      <c r="M67" s="371">
        <f>SUM(I56:I67)</f>
        <v>198148.616103188</v>
      </c>
      <c r="N67" s="611">
        <v>12</v>
      </c>
      <c r="O67" s="6"/>
      <c r="P67" s="6"/>
      <c r="Q67" s="6"/>
      <c r="R67" s="6"/>
      <c r="S67" s="6"/>
      <c r="T67" s="6"/>
      <c r="U67" s="7"/>
    </row>
    <row r="68" ht="13.75" customHeight="1">
      <c r="A68" s="5"/>
      <c r="B68" s="608">
        <v>49</v>
      </c>
      <c r="C68" s="609">
        <f>IF($B$20:$B$499&lt;&gt;"",DATE(YEAR($E$11),MONTH($E$11)+($B$20:$B$499)*12/$E$10,DAY($E$11)),"")</f>
        <v>46753</v>
      </c>
      <c r="D68" s="610">
        <f>IF($B$20:$B$499&lt;&gt;"",J67,"")</f>
        <v>2780751.27677716</v>
      </c>
      <c r="E68" s="610">
        <f>IF($B$20:$B$499&lt;&gt;"",$K$7,"")</f>
        <v>24114.8980934895</v>
      </c>
      <c r="F68" s="610">
        <f>IF(AND($B$20:$B$499&lt;&gt;"",$E$20:$E$499+$E$12&lt;$D$20:$D$499),$E$12,IF(AND($B$20:$B$499&lt;&gt;"",$D$20:$D$499-$E$20:$E$499&gt;0),$D$20:$D$499-$E$20:$E$499,IF($B$20:$B$499&lt;&gt;"",0,"")))</f>
        <v>0</v>
      </c>
      <c r="G68" s="610">
        <f>IF(AND($B$20:$B$499&lt;&gt;"",$E$20:$E$499+$F$20:$F$499&lt;$D$20:$D$499),$E$20:$E$499+$F$20:$F$499,IF($B$20:$B$499&lt;&gt;"",$D$20:$D$499,""))</f>
        <v>24114.8980934895</v>
      </c>
      <c r="H68" s="610">
        <f>IF($B$20:$B$499&lt;&gt;"",$G$20:$G$499-$I$20:$I$499,"")</f>
        <v>7893.8489789561</v>
      </c>
      <c r="I68" s="610">
        <f>IF($B$20:$B$499&lt;&gt;"",$D$20:$D$499*$E$8/$E$10,"")</f>
        <v>16221.0491145334</v>
      </c>
      <c r="J68" s="610">
        <f>IF(AND($B$20:$B$499&lt;&gt;"",$E$20:$E$499+$F$20:$F$499&lt;$D$20:$D$499),$D$20:$D$499-$H$20:$H$499,IF($B$20:$B$499&lt;&gt;"",0,""))</f>
        <v>2772857.4277982</v>
      </c>
      <c r="K68" s="610">
        <f>SUM($I$20:$I68)</f>
        <v>844087.434379188</v>
      </c>
      <c r="L68" s="371"/>
      <c r="M68" s="371"/>
      <c r="N68" s="612">
        <v>1</v>
      </c>
      <c r="O68" s="6"/>
      <c r="P68" s="6"/>
      <c r="Q68" s="6"/>
      <c r="R68" s="6"/>
      <c r="S68" s="6"/>
      <c r="T68" s="6"/>
      <c r="U68" s="7"/>
    </row>
    <row r="69" ht="13.75" customHeight="1">
      <c r="A69" s="5"/>
      <c r="B69" s="608">
        <v>50</v>
      </c>
      <c r="C69" s="609">
        <f>IF($B$20:$B$499&lt;&gt;"",DATE(YEAR($E$11),MONTH($E$11)+($B$20:$B$499)*12/$E$10,DAY($E$11)),"")</f>
        <v>46784</v>
      </c>
      <c r="D69" s="610">
        <f>IF($B$20:$B$499&lt;&gt;"",J68,"")</f>
        <v>2772857.4277982</v>
      </c>
      <c r="E69" s="610">
        <f>IF($B$20:$B$499&lt;&gt;"",$K$7,"")</f>
        <v>24114.8980934895</v>
      </c>
      <c r="F69" s="610">
        <f>IF(AND($B$20:$B$499&lt;&gt;"",$E$20:$E$499+$E$12&lt;$D$20:$D$499),$E$12,IF(AND($B$20:$B$499&lt;&gt;"",$D$20:$D$499-$E$20:$E$499&gt;0),$D$20:$D$499-$E$20:$E$499,IF($B$20:$B$499&lt;&gt;"",0,"")))</f>
        <v>0</v>
      </c>
      <c r="G69" s="610">
        <f>IF(AND($B$20:$B$499&lt;&gt;"",$E$20:$E$499+$F$20:$F$499&lt;$D$20:$D$499),$E$20:$E$499+$F$20:$F$499,IF($B$20:$B$499&lt;&gt;"",$D$20:$D$499,""))</f>
        <v>24114.8980934895</v>
      </c>
      <c r="H69" s="610">
        <f>IF($B$20:$B$499&lt;&gt;"",$G$20:$G$499-$I$20:$I$499,"")</f>
        <v>7939.8964313333</v>
      </c>
      <c r="I69" s="610">
        <f>IF($B$20:$B$499&lt;&gt;"",$D$20:$D$499*$E$8/$E$10,"")</f>
        <v>16175.0016621562</v>
      </c>
      <c r="J69" s="610">
        <f>IF(AND($B$20:$B$499&lt;&gt;"",$E$20:$E$499+$F$20:$F$499&lt;$D$20:$D$499),$D$20:$D$499-$H$20:$H$499,IF($B$20:$B$499&lt;&gt;"",0,""))</f>
        <v>2764917.53136687</v>
      </c>
      <c r="K69" s="610">
        <f>SUM($I$20:$I69)</f>
        <v>860262.436041344</v>
      </c>
      <c r="L69" s="371"/>
      <c r="M69" s="371"/>
      <c r="N69" s="612">
        <v>2</v>
      </c>
      <c r="O69" s="6"/>
      <c r="P69" s="6"/>
      <c r="Q69" s="6"/>
      <c r="R69" s="6"/>
      <c r="S69" s="6"/>
      <c r="T69" s="6"/>
      <c r="U69" s="7"/>
    </row>
    <row r="70" ht="13.75" customHeight="1">
      <c r="A70" s="5"/>
      <c r="B70" s="608">
        <v>51</v>
      </c>
      <c r="C70" s="609">
        <f>IF($B$20:$B$499&lt;&gt;"",DATE(YEAR($E$11),MONTH($E$11)+($B$20:$B$499)*12/$E$10,DAY($E$11)),"")</f>
        <v>46813</v>
      </c>
      <c r="D70" s="610">
        <f>IF($B$20:$B$499&lt;&gt;"",J69,"")</f>
        <v>2764917.53136687</v>
      </c>
      <c r="E70" s="610">
        <f>IF($B$20:$B$499&lt;&gt;"",$K$7,"")</f>
        <v>24114.8980934895</v>
      </c>
      <c r="F70" s="610">
        <f>IF(AND($B$20:$B$499&lt;&gt;"",$E$20:$E$499+$E$12&lt;$D$20:$D$499),$E$12,IF(AND($B$20:$B$499&lt;&gt;"",$D$20:$D$499-$E$20:$E$499&gt;0),$D$20:$D$499-$E$20:$E$499,IF($B$20:$B$499&lt;&gt;"",0,"")))</f>
        <v>0</v>
      </c>
      <c r="G70" s="610">
        <f>IF(AND($B$20:$B$499&lt;&gt;"",$E$20:$E$499+$F$20:$F$499&lt;$D$20:$D$499),$E$20:$E$499+$F$20:$F$499,IF($B$20:$B$499&lt;&gt;"",$D$20:$D$499,""))</f>
        <v>24114.8980934895</v>
      </c>
      <c r="H70" s="610">
        <f>IF($B$20:$B$499&lt;&gt;"",$G$20:$G$499-$I$20:$I$499,"")</f>
        <v>7986.2124938494</v>
      </c>
      <c r="I70" s="610">
        <f>IF($B$20:$B$499&lt;&gt;"",$D$20:$D$499*$E$8/$E$10,"")</f>
        <v>16128.6855996401</v>
      </c>
      <c r="J70" s="610">
        <f>IF(AND($B$20:$B$499&lt;&gt;"",$E$20:$E$499+$F$20:$F$499&lt;$D$20:$D$499),$D$20:$D$499-$H$20:$H$499,IF($B$20:$B$499&lt;&gt;"",0,""))</f>
        <v>2756931.31887302</v>
      </c>
      <c r="K70" s="610">
        <f>SUM($I$20:$I70)</f>
        <v>876391.121640985</v>
      </c>
      <c r="L70" s="371"/>
      <c r="M70" s="371"/>
      <c r="N70" s="612">
        <v>3</v>
      </c>
      <c r="O70" s="6"/>
      <c r="P70" s="6"/>
      <c r="Q70" s="6"/>
      <c r="R70" s="6"/>
      <c r="S70" s="6"/>
      <c r="T70" s="6"/>
      <c r="U70" s="7"/>
    </row>
    <row r="71" ht="13.75" customHeight="1">
      <c r="A71" s="5"/>
      <c r="B71" s="608">
        <v>52</v>
      </c>
      <c r="C71" s="609">
        <f>IF($B$20:$B$499&lt;&gt;"",DATE(YEAR($E$11),MONTH($E$11)+($B$20:$B$499)*12/$E$10,DAY($E$11)),"")</f>
        <v>46844</v>
      </c>
      <c r="D71" s="610">
        <f>IF($B$20:$B$499&lt;&gt;"",J70,"")</f>
        <v>2756931.31887302</v>
      </c>
      <c r="E71" s="610">
        <f>IF($B$20:$B$499&lt;&gt;"",$K$7,"")</f>
        <v>24114.8980934895</v>
      </c>
      <c r="F71" s="610">
        <f>IF(AND($B$20:$B$499&lt;&gt;"",$E$20:$E$499+$E$12&lt;$D$20:$D$499),$E$12,IF(AND($B$20:$B$499&lt;&gt;"",$D$20:$D$499-$E$20:$E$499&gt;0),$D$20:$D$499-$E$20:$E$499,IF($B$20:$B$499&lt;&gt;"",0,"")))</f>
        <v>0</v>
      </c>
      <c r="G71" s="610">
        <f>IF(AND($B$20:$B$499&lt;&gt;"",$E$20:$E$499+$F$20:$F$499&lt;$D$20:$D$499),$E$20:$E$499+$F$20:$F$499,IF($B$20:$B$499&lt;&gt;"",$D$20:$D$499,""))</f>
        <v>24114.8980934895</v>
      </c>
      <c r="H71" s="610">
        <f>IF($B$20:$B$499&lt;&gt;"",$G$20:$G$499-$I$20:$I$499,"")</f>
        <v>8032.7987333969</v>
      </c>
      <c r="I71" s="610">
        <f>IF($B$20:$B$499&lt;&gt;"",$D$20:$D$499*$E$8/$E$10,"")</f>
        <v>16082.0993600926</v>
      </c>
      <c r="J71" s="610">
        <f>IF(AND($B$20:$B$499&lt;&gt;"",$E$20:$E$499+$F$20:$F$499&lt;$D$20:$D$499),$D$20:$D$499-$H$20:$H$499,IF($B$20:$B$499&lt;&gt;"",0,""))</f>
        <v>2748898.52013962</v>
      </c>
      <c r="K71" s="610">
        <f>SUM($I$20:$I71)</f>
        <v>892473.221001077</v>
      </c>
      <c r="L71" s="371"/>
      <c r="M71" s="371"/>
      <c r="N71" s="612">
        <v>4</v>
      </c>
      <c r="O71" s="6"/>
      <c r="P71" s="6"/>
      <c r="Q71" s="6"/>
      <c r="R71" s="6"/>
      <c r="S71" s="6"/>
      <c r="T71" s="6"/>
      <c r="U71" s="7"/>
    </row>
    <row r="72" ht="13.75" customHeight="1">
      <c r="A72" s="5"/>
      <c r="B72" s="608">
        <v>53</v>
      </c>
      <c r="C72" s="609">
        <f>IF($B$20:$B$499&lt;&gt;"",DATE(YEAR($E$11),MONTH($E$11)+($B$20:$B$499)*12/$E$10,DAY($E$11)),"")</f>
        <v>46874</v>
      </c>
      <c r="D72" s="610">
        <f>IF($B$20:$B$499&lt;&gt;"",J71,"")</f>
        <v>2748898.52013962</v>
      </c>
      <c r="E72" s="610">
        <f>IF($B$20:$B$499&lt;&gt;"",$K$7,"")</f>
        <v>24114.8980934895</v>
      </c>
      <c r="F72" s="610">
        <f>IF(AND($B$20:$B$499&lt;&gt;"",$E$20:$E$499+$E$12&lt;$D$20:$D$499),$E$12,IF(AND($B$20:$B$499&lt;&gt;"",$D$20:$D$499-$E$20:$E$499&gt;0),$D$20:$D$499-$E$20:$E$499,IF($B$20:$B$499&lt;&gt;"",0,"")))</f>
        <v>0</v>
      </c>
      <c r="G72" s="610">
        <f>IF(AND($B$20:$B$499&lt;&gt;"",$E$20:$E$499+$F$20:$F$499&lt;$D$20:$D$499),$E$20:$E$499+$F$20:$F$499,IF($B$20:$B$499&lt;&gt;"",$D$20:$D$499,""))</f>
        <v>24114.8980934895</v>
      </c>
      <c r="H72" s="610">
        <f>IF($B$20:$B$499&lt;&gt;"",$G$20:$G$499-$I$20:$I$499,"")</f>
        <v>8079.6567260084</v>
      </c>
      <c r="I72" s="610">
        <f>IF($B$20:$B$499&lt;&gt;"",$D$20:$D$499*$E$8/$E$10,"")</f>
        <v>16035.2413674811</v>
      </c>
      <c r="J72" s="610">
        <f>IF(AND($B$20:$B$499&lt;&gt;"",$E$20:$E$499+$F$20:$F$499&lt;$D$20:$D$499),$D$20:$D$499-$H$20:$H$499,IF($B$20:$B$499&lt;&gt;"",0,""))</f>
        <v>2740818.86341361</v>
      </c>
      <c r="K72" s="610">
        <f>SUM($I$20:$I72)</f>
        <v>908508.462368558</v>
      </c>
      <c r="L72" s="371"/>
      <c r="M72" s="371"/>
      <c r="N72" s="612">
        <v>5</v>
      </c>
      <c r="O72" s="6"/>
      <c r="P72" s="6"/>
      <c r="Q72" s="6"/>
      <c r="R72" s="6"/>
      <c r="S72" s="6"/>
      <c r="T72" s="6"/>
      <c r="U72" s="7"/>
    </row>
    <row r="73" ht="13.75" customHeight="1">
      <c r="A73" s="5"/>
      <c r="B73" s="608">
        <v>54</v>
      </c>
      <c r="C73" s="609">
        <f>IF($B$20:$B$499&lt;&gt;"",DATE(YEAR($E$11),MONTH($E$11)+($B$20:$B$499)*12/$E$10,DAY($E$11)),"")</f>
        <v>46905</v>
      </c>
      <c r="D73" s="610">
        <f>IF($B$20:$B$499&lt;&gt;"",J72,"")</f>
        <v>2740818.86341361</v>
      </c>
      <c r="E73" s="610">
        <f>IF($B$20:$B$499&lt;&gt;"",$K$7,"")</f>
        <v>24114.8980934895</v>
      </c>
      <c r="F73" s="610">
        <f>IF(AND($B$20:$B$499&lt;&gt;"",$E$20:$E$499+$E$12&lt;$D$20:$D$499),$E$12,IF(AND($B$20:$B$499&lt;&gt;"",$D$20:$D$499-$E$20:$E$499&gt;0),$D$20:$D$499-$E$20:$E$499,IF($B$20:$B$499&lt;&gt;"",0,"")))</f>
        <v>0</v>
      </c>
      <c r="G73" s="610">
        <f>IF(AND($B$20:$B$499&lt;&gt;"",$E$20:$E$499+$F$20:$F$499&lt;$D$20:$D$499),$E$20:$E$499+$F$20:$F$499,IF($B$20:$B$499&lt;&gt;"",$D$20:$D$499,""))</f>
        <v>24114.8980934895</v>
      </c>
      <c r="H73" s="610">
        <f>IF($B$20:$B$499&lt;&gt;"",$G$20:$G$499-$I$20:$I$499,"")</f>
        <v>8126.7880569101</v>
      </c>
      <c r="I73" s="610">
        <f>IF($B$20:$B$499&lt;&gt;"",$D$20:$D$499*$E$8/$E$10,"")</f>
        <v>15988.1100365794</v>
      </c>
      <c r="J73" s="610">
        <f>IF(AND($B$20:$B$499&lt;&gt;"",$E$20:$E$499+$F$20:$F$499&lt;$D$20:$D$499),$D$20:$D$499-$H$20:$H$499,IF($B$20:$B$499&lt;&gt;"",0,""))</f>
        <v>2732692.0753567</v>
      </c>
      <c r="K73" s="610">
        <f>SUM($I$20:$I73)</f>
        <v>924496.5724051381</v>
      </c>
      <c r="L73" s="371"/>
      <c r="M73" s="371"/>
      <c r="N73" s="611">
        <v>6</v>
      </c>
      <c r="O73" s="6"/>
      <c r="P73" s="6"/>
      <c r="Q73" s="6"/>
      <c r="R73" s="6"/>
      <c r="S73" s="6"/>
      <c r="T73" s="6"/>
      <c r="U73" s="7"/>
    </row>
    <row r="74" ht="13.75" customHeight="1">
      <c r="A74" s="5"/>
      <c r="B74" s="608">
        <v>55</v>
      </c>
      <c r="C74" s="609">
        <f>IF($B$20:$B$499&lt;&gt;"",DATE(YEAR($E$11),MONTH($E$11)+($B$20:$B$499)*12/$E$10,DAY($E$11)),"")</f>
        <v>46935</v>
      </c>
      <c r="D74" s="610">
        <f>IF($B$20:$B$499&lt;&gt;"",J73,"")</f>
        <v>2732692.0753567</v>
      </c>
      <c r="E74" s="610">
        <f>IF($B$20:$B$499&lt;&gt;"",$K$7,"")</f>
        <v>24114.8980934895</v>
      </c>
      <c r="F74" s="610">
        <f>IF(AND($B$20:$B$499&lt;&gt;"",$E$20:$E$499+$E$12&lt;$D$20:$D$499),$E$12,IF(AND($B$20:$B$499&lt;&gt;"",$D$20:$D$499-$E$20:$E$499&gt;0),$D$20:$D$499-$E$20:$E$499,IF($B$20:$B$499&lt;&gt;"",0,"")))</f>
        <v>0</v>
      </c>
      <c r="G74" s="610">
        <f>IF(AND($B$20:$B$499&lt;&gt;"",$E$20:$E$499+$F$20:$F$499&lt;$D$20:$D$499),$E$20:$E$499+$F$20:$F$499,IF($B$20:$B$499&lt;&gt;"",$D$20:$D$499,""))</f>
        <v>24114.8980934895</v>
      </c>
      <c r="H74" s="610">
        <f>IF($B$20:$B$499&lt;&gt;"",$G$20:$G$499-$I$20:$I$499,"")</f>
        <v>8174.1943205754</v>
      </c>
      <c r="I74" s="610">
        <f>IF($B$20:$B$499&lt;&gt;"",$D$20:$D$499*$E$8/$E$10,"")</f>
        <v>15940.7037729141</v>
      </c>
      <c r="J74" s="610">
        <f>IF(AND($B$20:$B$499&lt;&gt;"",$E$20:$E$499+$F$20:$F$499&lt;$D$20:$D$499),$D$20:$D$499-$H$20:$H$499,IF($B$20:$B$499&lt;&gt;"",0,""))</f>
        <v>2724517.88103612</v>
      </c>
      <c r="K74" s="610">
        <f>SUM($I$20:$I74)</f>
        <v>940437.276178052</v>
      </c>
      <c r="L74" s="371"/>
      <c r="M74" s="371"/>
      <c r="N74" s="611">
        <v>7</v>
      </c>
      <c r="O74" s="6"/>
      <c r="P74" s="6"/>
      <c r="Q74" s="6"/>
      <c r="R74" s="6"/>
      <c r="S74" s="6"/>
      <c r="T74" s="6"/>
      <c r="U74" s="7"/>
    </row>
    <row r="75" ht="13.75" customHeight="1">
      <c r="A75" s="5"/>
      <c r="B75" s="608">
        <v>56</v>
      </c>
      <c r="C75" s="609">
        <f>IF($B$20:$B$499&lt;&gt;"",DATE(YEAR($E$11),MONTH($E$11)+($B$20:$B$499)*12/$E$10,DAY($E$11)),"")</f>
        <v>46966</v>
      </c>
      <c r="D75" s="610">
        <f>IF($B$20:$B$499&lt;&gt;"",J74,"")</f>
        <v>2724517.88103612</v>
      </c>
      <c r="E75" s="610">
        <f>IF($B$20:$B$499&lt;&gt;"",$K$7,"")</f>
        <v>24114.8980934895</v>
      </c>
      <c r="F75" s="610">
        <f>IF(AND($B$20:$B$499&lt;&gt;"",$E$20:$E$499+$E$12&lt;$D$20:$D$499),$E$12,IF(AND($B$20:$B$499&lt;&gt;"",$D$20:$D$499-$E$20:$E$499&gt;0),$D$20:$D$499-$E$20:$E$499,IF($B$20:$B$499&lt;&gt;"",0,"")))</f>
        <v>0</v>
      </c>
      <c r="G75" s="610">
        <f>IF(AND($B$20:$B$499&lt;&gt;"",$E$20:$E$499+$F$20:$F$499&lt;$D$20:$D$499),$E$20:$E$499+$F$20:$F$499,IF($B$20:$B$499&lt;&gt;"",$D$20:$D$499,""))</f>
        <v>24114.8980934895</v>
      </c>
      <c r="H75" s="610">
        <f>IF($B$20:$B$499&lt;&gt;"",$G$20:$G$499-$I$20:$I$499,"")</f>
        <v>8221.8771207788</v>
      </c>
      <c r="I75" s="610">
        <f>IF($B$20:$B$499&lt;&gt;"",$D$20:$D$499*$E$8/$E$10,"")</f>
        <v>15893.0209727107</v>
      </c>
      <c r="J75" s="610">
        <f>IF(AND($B$20:$B$499&lt;&gt;"",$E$20:$E$499+$F$20:$F$499&lt;$D$20:$D$499),$D$20:$D$499-$H$20:$H$499,IF($B$20:$B$499&lt;&gt;"",0,""))</f>
        <v>2716296.00391534</v>
      </c>
      <c r="K75" s="610">
        <f>SUM($I$20:$I75)</f>
        <v>956330.2971507621</v>
      </c>
      <c r="L75" s="371"/>
      <c r="M75" s="371"/>
      <c r="N75" s="611">
        <v>8</v>
      </c>
      <c r="O75" s="6"/>
      <c r="P75" s="6"/>
      <c r="Q75" s="6"/>
      <c r="R75" s="6"/>
      <c r="S75" s="6"/>
      <c r="T75" s="6"/>
      <c r="U75" s="7"/>
    </row>
    <row r="76" ht="13.75" customHeight="1">
      <c r="A76" s="5"/>
      <c r="B76" s="608">
        <v>57</v>
      </c>
      <c r="C76" s="609">
        <f>IF($B$20:$B$499&lt;&gt;"",DATE(YEAR($E$11),MONTH($E$11)+($B$20:$B$499)*12/$E$10,DAY($E$11)),"")</f>
        <v>46997</v>
      </c>
      <c r="D76" s="610">
        <f>IF($B$20:$B$499&lt;&gt;"",J75,"")</f>
        <v>2716296.00391534</v>
      </c>
      <c r="E76" s="610">
        <f>IF($B$20:$B$499&lt;&gt;"",$K$7,"")</f>
        <v>24114.8980934895</v>
      </c>
      <c r="F76" s="610">
        <f>IF(AND($B$20:$B$499&lt;&gt;"",$E$20:$E$499+$E$12&lt;$D$20:$D$499),$E$12,IF(AND($B$20:$B$499&lt;&gt;"",$D$20:$D$499-$E$20:$E$499&gt;0),$D$20:$D$499-$E$20:$E$499,IF($B$20:$B$499&lt;&gt;"",0,"")))</f>
        <v>0</v>
      </c>
      <c r="G76" s="610">
        <f>IF(AND($B$20:$B$499&lt;&gt;"",$E$20:$E$499+$F$20:$F$499&lt;$D$20:$D$499),$E$20:$E$499+$F$20:$F$499,IF($B$20:$B$499&lt;&gt;"",$D$20:$D$499,""))</f>
        <v>24114.8980934895</v>
      </c>
      <c r="H76" s="610">
        <f>IF($B$20:$B$499&lt;&gt;"",$G$20:$G$499-$I$20:$I$499,"")</f>
        <v>8269.838070649999</v>
      </c>
      <c r="I76" s="610">
        <f>IF($B$20:$B$499&lt;&gt;"",$D$20:$D$499*$E$8/$E$10,"")</f>
        <v>15845.0600228395</v>
      </c>
      <c r="J76" s="610">
        <f>IF(AND($B$20:$B$499&lt;&gt;"",$E$20:$E$499+$F$20:$F$499&lt;$D$20:$D$499),$D$20:$D$499-$H$20:$H$499,IF($B$20:$B$499&lt;&gt;"",0,""))</f>
        <v>2708026.16584469</v>
      </c>
      <c r="K76" s="610">
        <f>SUM($I$20:$I76)</f>
        <v>972175.357173602</v>
      </c>
      <c r="L76" s="371"/>
      <c r="M76" s="371"/>
      <c r="N76" s="611">
        <v>9</v>
      </c>
      <c r="O76" s="6"/>
      <c r="P76" s="6"/>
      <c r="Q76" s="6"/>
      <c r="R76" s="6"/>
      <c r="S76" s="6"/>
      <c r="T76" s="6"/>
      <c r="U76" s="7"/>
    </row>
    <row r="77" ht="13.75" customHeight="1">
      <c r="A77" s="5"/>
      <c r="B77" s="608">
        <v>58</v>
      </c>
      <c r="C77" s="609">
        <f>IF($B$20:$B$499&lt;&gt;"",DATE(YEAR($E$11),MONTH($E$11)+($B$20:$B$499)*12/$E$10,DAY($E$11)),"")</f>
        <v>47027</v>
      </c>
      <c r="D77" s="610">
        <f>IF($B$20:$B$499&lt;&gt;"",J76,"")</f>
        <v>2708026.16584469</v>
      </c>
      <c r="E77" s="610">
        <f>IF($B$20:$B$499&lt;&gt;"",$K$7,"")</f>
        <v>24114.8980934895</v>
      </c>
      <c r="F77" s="610">
        <f>IF(AND($B$20:$B$499&lt;&gt;"",$E$20:$E$499+$E$12&lt;$D$20:$D$499),$E$12,IF(AND($B$20:$B$499&lt;&gt;"",$D$20:$D$499-$E$20:$E$499&gt;0),$D$20:$D$499-$E$20:$E$499,IF($B$20:$B$499&lt;&gt;"",0,"")))</f>
        <v>0</v>
      </c>
      <c r="G77" s="610">
        <f>IF(AND($B$20:$B$499&lt;&gt;"",$E$20:$E$499+$F$20:$F$499&lt;$D$20:$D$499),$E$20:$E$499+$F$20:$F$499,IF($B$20:$B$499&lt;&gt;"",$D$20:$D$499,""))</f>
        <v>24114.8980934895</v>
      </c>
      <c r="H77" s="610">
        <f>IF($B$20:$B$499&lt;&gt;"",$G$20:$G$499-$I$20:$I$499,"")</f>
        <v>8318.0787927288</v>
      </c>
      <c r="I77" s="610">
        <f>IF($B$20:$B$499&lt;&gt;"",$D$20:$D$499*$E$8/$E$10,"")</f>
        <v>15796.8193007607</v>
      </c>
      <c r="J77" s="610">
        <f>IF(AND($B$20:$B$499&lt;&gt;"",$E$20:$E$499+$F$20:$F$499&lt;$D$20:$D$499),$D$20:$D$499-$H$20:$H$499,IF($B$20:$B$499&lt;&gt;"",0,""))</f>
        <v>2699708.08705196</v>
      </c>
      <c r="K77" s="610">
        <f>SUM($I$20:$I77)</f>
        <v>987972.176474363</v>
      </c>
      <c r="L77" s="371"/>
      <c r="M77" s="371"/>
      <c r="N77" s="611">
        <v>10</v>
      </c>
      <c r="O77" s="6"/>
      <c r="P77" s="6"/>
      <c r="Q77" s="6"/>
      <c r="R77" s="6"/>
      <c r="S77" s="6"/>
      <c r="T77" s="6"/>
      <c r="U77" s="7"/>
    </row>
    <row r="78" ht="13.75" customHeight="1">
      <c r="A78" s="5"/>
      <c r="B78" s="608">
        <v>59</v>
      </c>
      <c r="C78" s="609">
        <f>IF($B$20:$B$499&lt;&gt;"",DATE(YEAR($E$11),MONTH($E$11)+($B$20:$B$499)*12/$E$10,DAY($E$11)),"")</f>
        <v>47058</v>
      </c>
      <c r="D78" s="610">
        <f>IF($B$20:$B$499&lt;&gt;"",J77,"")</f>
        <v>2699708.08705196</v>
      </c>
      <c r="E78" s="610">
        <f>IF($B$20:$B$499&lt;&gt;"",$K$7,"")</f>
        <v>24114.8980934895</v>
      </c>
      <c r="F78" s="610">
        <f>IF(AND($B$20:$B$499&lt;&gt;"",$E$20:$E$499+$E$12&lt;$D$20:$D$499),$E$12,IF(AND($B$20:$B$499&lt;&gt;"",$D$20:$D$499-$E$20:$E$499&gt;0),$D$20:$D$499-$E$20:$E$499,IF($B$20:$B$499&lt;&gt;"",0,"")))</f>
        <v>0</v>
      </c>
      <c r="G78" s="610">
        <f>IF(AND($B$20:$B$499&lt;&gt;"",$E$20:$E$499+$F$20:$F$499&lt;$D$20:$D$499),$E$20:$E$499+$F$20:$F$499,IF($B$20:$B$499&lt;&gt;"",$D$20:$D$499,""))</f>
        <v>24114.8980934895</v>
      </c>
      <c r="H78" s="610">
        <f>IF($B$20:$B$499&lt;&gt;"",$G$20:$G$499-$I$20:$I$499,"")</f>
        <v>8366.6009190197</v>
      </c>
      <c r="I78" s="610">
        <f>IF($B$20:$B$499&lt;&gt;"",$D$20:$D$499*$E$8/$E$10,"")</f>
        <v>15748.2971744698</v>
      </c>
      <c r="J78" s="610">
        <f>IF(AND($B$20:$B$499&lt;&gt;"",$E$20:$E$499+$F$20:$F$499&lt;$D$20:$D$499),$D$20:$D$499-$H$20:$H$499,IF($B$20:$B$499&lt;&gt;"",0,""))</f>
        <v>2691341.48613294</v>
      </c>
      <c r="K78" s="610">
        <f>SUM($I$20:$I78)</f>
        <v>1003720.47364883</v>
      </c>
      <c r="L78" s="371"/>
      <c r="M78" s="371"/>
      <c r="N78" s="611">
        <v>11</v>
      </c>
      <c r="O78" s="6"/>
      <c r="P78" s="6"/>
      <c r="Q78" s="6"/>
      <c r="R78" s="6"/>
      <c r="S78" s="6"/>
      <c r="T78" s="6"/>
      <c r="U78" s="7"/>
    </row>
    <row r="79" ht="13.75" customHeight="1">
      <c r="A79" s="5"/>
      <c r="B79" s="608">
        <v>60</v>
      </c>
      <c r="C79" s="609">
        <f>IF($B$20:$B$499&lt;&gt;"",DATE(YEAR($E$11),MONTH($E$11)+($B$20:$B$499)*12/$E$10,DAY($E$11)),"")</f>
        <v>47088</v>
      </c>
      <c r="D79" s="610">
        <f>IF($B$20:$B$499&lt;&gt;"",J78,"")</f>
        <v>2691341.48613294</v>
      </c>
      <c r="E79" s="610">
        <f>IF($B$20:$B$499&lt;&gt;"",$K$7,"")</f>
        <v>24114.8980934895</v>
      </c>
      <c r="F79" s="610">
        <f>IF(AND($B$20:$B$499&lt;&gt;"",$E$20:$E$499+$E$12&lt;$D$20:$D$499),$E$12,IF(AND($B$20:$B$499&lt;&gt;"",$D$20:$D$499-$E$20:$E$499&gt;0),$D$20:$D$499-$E$20:$E$499,IF($B$20:$B$499&lt;&gt;"",0,"")))</f>
        <v>0</v>
      </c>
      <c r="G79" s="610">
        <f>IF(AND($B$20:$B$499&lt;&gt;"",$E$20:$E$499+$F$20:$F$499&lt;$D$20:$D$499),$E$20:$E$499+$F$20:$F$499,IF($B$20:$B$499&lt;&gt;"",$D$20:$D$499,""))</f>
        <v>24114.8980934895</v>
      </c>
      <c r="H79" s="610">
        <f>IF($B$20:$B$499&lt;&gt;"",$G$20:$G$499-$I$20:$I$499,"")</f>
        <v>8415.4060910473</v>
      </c>
      <c r="I79" s="610">
        <f>IF($B$20:$B$499&lt;&gt;"",$D$20:$D$499*$E$8/$E$10,"")</f>
        <v>15699.4920024422</v>
      </c>
      <c r="J79" s="610">
        <f>IF(AND($B$20:$B$499&lt;&gt;"",$E$20:$E$499+$F$20:$F$499&lt;$D$20:$D$499),$D$20:$D$499-$H$20:$H$499,IF($B$20:$B$499&lt;&gt;"",0,""))</f>
        <v>2682926.08004189</v>
      </c>
      <c r="K79" s="610">
        <f>SUM($I$20:$I79)</f>
        <v>1019419.96565127</v>
      </c>
      <c r="L79" s="371">
        <f>SUM(H68:H79)</f>
        <v>97825.1967352542</v>
      </c>
      <c r="M79" s="371">
        <f>SUM(I68:I79)</f>
        <v>191553.58038662</v>
      </c>
      <c r="N79" s="611">
        <v>12</v>
      </c>
      <c r="O79" s="6"/>
      <c r="P79" s="6"/>
      <c r="Q79" s="6"/>
      <c r="R79" s="6"/>
      <c r="S79" s="6"/>
      <c r="T79" s="6"/>
      <c r="U79" s="7"/>
    </row>
    <row r="80" ht="13.75" customHeight="1">
      <c r="A80" s="5"/>
      <c r="B80" s="608">
        <v>61</v>
      </c>
      <c r="C80" s="609">
        <f>IF($B$20:$B$499&lt;&gt;"",DATE(YEAR($E$11),MONTH($E$11)+($B$20:$B$499)*12/$E$10,DAY($E$11)),"")</f>
        <v>47119</v>
      </c>
      <c r="D80" s="610">
        <f>IF($B$20:$B$499&lt;&gt;"",J79,"")</f>
        <v>2682926.08004189</v>
      </c>
      <c r="E80" s="610">
        <f>IF($B$20:$B$499&lt;&gt;"",$K$7,"")</f>
        <v>24114.8980934895</v>
      </c>
      <c r="F80" s="610">
        <f>IF(AND($B$20:$B$499&lt;&gt;"",$E$20:$E$499+$E$12&lt;$D$20:$D$499),$E$12,IF(AND($B$20:$B$499&lt;&gt;"",$D$20:$D$499-$E$20:$E$499&gt;0),$D$20:$D$499-$E$20:$E$499,IF($B$20:$B$499&lt;&gt;"",0,"")))</f>
        <v>0</v>
      </c>
      <c r="G80" s="610">
        <f>IF(AND($B$20:$B$499&lt;&gt;"",$E$20:$E$499+$F$20:$F$499&lt;$D$20:$D$499),$E$20:$E$499+$F$20:$F$499,IF($B$20:$B$499&lt;&gt;"",$D$20:$D$499,""))</f>
        <v>24114.8980934895</v>
      </c>
      <c r="H80" s="610">
        <f>IF($B$20:$B$499&lt;&gt;"",$G$20:$G$499-$I$20:$I$499,"")</f>
        <v>8464.495959911799</v>
      </c>
      <c r="I80" s="610">
        <f>IF($B$20:$B$499&lt;&gt;"",$D$20:$D$499*$E$8/$E$10,"")</f>
        <v>15650.4021335777</v>
      </c>
      <c r="J80" s="610">
        <f>IF(AND($B$20:$B$499&lt;&gt;"",$E$20:$E$499+$F$20:$F$499&lt;$D$20:$D$499),$D$20:$D$499-$H$20:$H$499,IF($B$20:$B$499&lt;&gt;"",0,""))</f>
        <v>2674461.58408198</v>
      </c>
      <c r="K80" s="610">
        <f>SUM($I$20:$I80)</f>
        <v>1035070.36778485</v>
      </c>
      <c r="L80" s="371"/>
      <c r="M80" s="371"/>
      <c r="N80" s="6"/>
      <c r="O80" s="6"/>
      <c r="P80" s="6"/>
      <c r="Q80" s="6"/>
      <c r="R80" s="6"/>
      <c r="S80" s="6"/>
      <c r="T80" s="6"/>
      <c r="U80" s="7"/>
    </row>
    <row r="81" ht="13.75" customHeight="1">
      <c r="A81" s="5"/>
      <c r="B81" s="608">
        <v>62</v>
      </c>
      <c r="C81" s="609">
        <f>IF($B$20:$B$499&lt;&gt;"",DATE(YEAR($E$11),MONTH($E$11)+($B$20:$B$499)*12/$E$10,DAY($E$11)),"")</f>
        <v>47150</v>
      </c>
      <c r="D81" s="610">
        <f>IF($B$20:$B$499&lt;&gt;"",J80,"")</f>
        <v>2674461.58408198</v>
      </c>
      <c r="E81" s="610">
        <f>IF($B$20:$B$499&lt;&gt;"",$K$7,"")</f>
        <v>24114.8980934895</v>
      </c>
      <c r="F81" s="610">
        <f>IF(AND($B$20:$B$499&lt;&gt;"",$E$20:$E$499+$E$12&lt;$D$20:$D$499),$E$12,IF(AND($B$20:$B$499&lt;&gt;"",$D$20:$D$499-$E$20:$E$499&gt;0),$D$20:$D$499-$E$20:$E$499,IF($B$20:$B$499&lt;&gt;"",0,"")))</f>
        <v>0</v>
      </c>
      <c r="G81" s="610">
        <f>IF(AND($B$20:$B$499&lt;&gt;"",$E$20:$E$499+$F$20:$F$499&lt;$D$20:$D$499),$E$20:$E$499+$F$20:$F$499,IF($B$20:$B$499&lt;&gt;"",$D$20:$D$499,""))</f>
        <v>24114.8980934895</v>
      </c>
      <c r="H81" s="610">
        <f>IF($B$20:$B$499&lt;&gt;"",$G$20:$G$499-$I$20:$I$499,"")</f>
        <v>8513.872186344601</v>
      </c>
      <c r="I81" s="610">
        <f>IF($B$20:$B$499&lt;&gt;"",$D$20:$D$499*$E$8/$E$10,"")</f>
        <v>15601.0259071449</v>
      </c>
      <c r="J81" s="610">
        <f>IF(AND($B$20:$B$499&lt;&gt;"",$E$20:$E$499+$F$20:$F$499&lt;$D$20:$D$499),$D$20:$D$499-$H$20:$H$499,IF($B$20:$B$499&lt;&gt;"",0,""))</f>
        <v>2665947.71189564</v>
      </c>
      <c r="K81" s="610">
        <f>SUM($I$20:$I81)</f>
        <v>1050671.393692</v>
      </c>
      <c r="L81" s="371"/>
      <c r="M81" s="371"/>
      <c r="N81" s="6"/>
      <c r="O81" s="6"/>
      <c r="P81" s="6"/>
      <c r="Q81" s="6"/>
      <c r="R81" s="6"/>
      <c r="S81" s="6"/>
      <c r="T81" s="6"/>
      <c r="U81" s="7"/>
    </row>
    <row r="82" ht="13.75" customHeight="1">
      <c r="A82" s="5"/>
      <c r="B82" s="608">
        <v>63</v>
      </c>
      <c r="C82" s="609">
        <f>IF($B$20:$B$499&lt;&gt;"",DATE(YEAR($E$11),MONTH($E$11)+($B$20:$B$499)*12/$E$10,DAY($E$11)),"")</f>
        <v>47178</v>
      </c>
      <c r="D82" s="610">
        <f>IF($B$20:$B$499&lt;&gt;"",J81,"")</f>
        <v>2665947.71189564</v>
      </c>
      <c r="E82" s="610">
        <f>IF($B$20:$B$499&lt;&gt;"",$K$7,"")</f>
        <v>24114.8980934895</v>
      </c>
      <c r="F82" s="610">
        <f>IF(AND($B$20:$B$499&lt;&gt;"",$E$20:$E$499+$E$12&lt;$D$20:$D$499),$E$12,IF(AND($B$20:$B$499&lt;&gt;"",$D$20:$D$499-$E$20:$E$499&gt;0),$D$20:$D$499-$E$20:$E$499,IF($B$20:$B$499&lt;&gt;"",0,"")))</f>
        <v>0</v>
      </c>
      <c r="G82" s="610">
        <f>IF(AND($B$20:$B$499&lt;&gt;"",$E$20:$E$499+$F$20:$F$499&lt;$D$20:$D$499),$E$20:$E$499+$F$20:$F$499,IF($B$20:$B$499&lt;&gt;"",$D$20:$D$499,""))</f>
        <v>24114.8980934895</v>
      </c>
      <c r="H82" s="610">
        <f>IF($B$20:$B$499&lt;&gt;"",$G$20:$G$499-$I$20:$I$499,"")</f>
        <v>8563.536440764899</v>
      </c>
      <c r="I82" s="610">
        <f>IF($B$20:$B$499&lt;&gt;"",$D$20:$D$499*$E$8/$E$10,"")</f>
        <v>15551.3616527246</v>
      </c>
      <c r="J82" s="610">
        <f>IF(AND($B$20:$B$499&lt;&gt;"",$E$20:$E$499+$F$20:$F$499&lt;$D$20:$D$499),$D$20:$D$499-$H$20:$H$499,IF($B$20:$B$499&lt;&gt;"",0,""))</f>
        <v>2657384.17545488</v>
      </c>
      <c r="K82" s="610">
        <f>SUM($I$20:$I82)</f>
        <v>1066222.75534472</v>
      </c>
      <c r="L82" s="371"/>
      <c r="M82" s="371"/>
      <c r="N82" s="6"/>
      <c r="O82" s="6"/>
      <c r="P82" s="6"/>
      <c r="Q82" s="6"/>
      <c r="R82" s="6"/>
      <c r="S82" s="6"/>
      <c r="T82" s="6"/>
      <c r="U82" s="7"/>
    </row>
    <row r="83" ht="13.75" customHeight="1">
      <c r="A83" s="5"/>
      <c r="B83" s="608">
        <v>64</v>
      </c>
      <c r="C83" s="609">
        <f>IF($B$20:$B$499&lt;&gt;"",DATE(YEAR($E$11),MONTH($E$11)+($B$20:$B$499)*12/$E$10,DAY($E$11)),"")</f>
        <v>47209</v>
      </c>
      <c r="D83" s="610">
        <f>IF($B$20:$B$499&lt;&gt;"",J82,"")</f>
        <v>2657384.17545488</v>
      </c>
      <c r="E83" s="610">
        <f>IF($B$20:$B$499&lt;&gt;"",$K$7,"")</f>
        <v>24114.8980934895</v>
      </c>
      <c r="F83" s="610">
        <f>IF(AND($B$20:$B$499&lt;&gt;"",$E$20:$E$499+$E$12&lt;$D$20:$D$499),$E$12,IF(AND($B$20:$B$499&lt;&gt;"",$D$20:$D$499-$E$20:$E$499&gt;0),$D$20:$D$499-$E$20:$E$499,IF($B$20:$B$499&lt;&gt;"",0,"")))</f>
        <v>0</v>
      </c>
      <c r="G83" s="610">
        <f>IF(AND($B$20:$B$499&lt;&gt;"",$E$20:$E$499+$F$20:$F$499&lt;$D$20:$D$499),$E$20:$E$499+$F$20:$F$499,IF($B$20:$B$499&lt;&gt;"",$D$20:$D$499,""))</f>
        <v>24114.8980934895</v>
      </c>
      <c r="H83" s="610">
        <f>IF($B$20:$B$499&lt;&gt;"",$G$20:$G$499-$I$20:$I$499,"")</f>
        <v>8613.490403336</v>
      </c>
      <c r="I83" s="610">
        <f>IF($B$20:$B$499&lt;&gt;"",$D$20:$D$499*$E$8/$E$10,"")</f>
        <v>15501.4076901535</v>
      </c>
      <c r="J83" s="610">
        <f>IF(AND($B$20:$B$499&lt;&gt;"",$E$20:$E$499+$F$20:$F$499&lt;$D$20:$D$499),$D$20:$D$499-$H$20:$H$499,IF($B$20:$B$499&lt;&gt;"",0,""))</f>
        <v>2648770.68505154</v>
      </c>
      <c r="K83" s="610">
        <f>SUM($I$20:$I83)</f>
        <v>1081724.16303488</v>
      </c>
      <c r="L83" s="371"/>
      <c r="M83" s="371"/>
      <c r="N83" s="6"/>
      <c r="O83" s="6"/>
      <c r="P83" s="6"/>
      <c r="Q83" s="6"/>
      <c r="R83" s="6"/>
      <c r="S83" s="6"/>
      <c r="T83" s="6"/>
      <c r="U83" s="7"/>
    </row>
    <row r="84" ht="13.75" customHeight="1">
      <c r="A84" s="5"/>
      <c r="B84" s="608">
        <v>65</v>
      </c>
      <c r="C84" s="609">
        <f>IF($B$20:$B$499&lt;&gt;"",DATE(YEAR($E$11),MONTH($E$11)+($B$20:$B$499)*12/$E$10,DAY($E$11)),"")</f>
        <v>47239</v>
      </c>
      <c r="D84" s="610">
        <f>IF($B$20:$B$499&lt;&gt;"",J83,"")</f>
        <v>2648770.68505154</v>
      </c>
      <c r="E84" s="610">
        <f>IF($B$20:$B$499&lt;&gt;"",$K$7,"")</f>
        <v>24114.8980934895</v>
      </c>
      <c r="F84" s="610">
        <f>IF(AND($B$20:$B$499&lt;&gt;"",$E$20:$E$499+$E$12&lt;$D$20:$D$499),$E$12,IF(AND($B$20:$B$499&lt;&gt;"",$D$20:$D$499-$E$20:$E$499&gt;0),$D$20:$D$499-$E$20:$E$499,IF($B$20:$B$499&lt;&gt;"",0,"")))</f>
        <v>0</v>
      </c>
      <c r="G84" s="610">
        <f>IF(AND($B$20:$B$499&lt;&gt;"",$E$20:$E$499+$F$20:$F$499&lt;$D$20:$D$499),$E$20:$E$499+$F$20:$F$499,IF($B$20:$B$499&lt;&gt;"",$D$20:$D$499,""))</f>
        <v>24114.8980934895</v>
      </c>
      <c r="H84" s="610">
        <f>IF($B$20:$B$499&lt;&gt;"",$G$20:$G$499-$I$20:$I$499,"")</f>
        <v>8663.7357640222</v>
      </c>
      <c r="I84" s="610">
        <f>IF($B$20:$B$499&lt;&gt;"",$D$20:$D$499*$E$8/$E$10,"")</f>
        <v>15451.1623294673</v>
      </c>
      <c r="J84" s="610">
        <f>IF(AND($B$20:$B$499&lt;&gt;"",$E$20:$E$499+$F$20:$F$499&lt;$D$20:$D$499),$D$20:$D$499-$H$20:$H$499,IF($B$20:$B$499&lt;&gt;"",0,""))</f>
        <v>2640106.94928752</v>
      </c>
      <c r="K84" s="610">
        <f>SUM($I$20:$I84)</f>
        <v>1097175.32536434</v>
      </c>
      <c r="L84" s="371"/>
      <c r="M84" s="371"/>
      <c r="N84" s="6"/>
      <c r="O84" s="6"/>
      <c r="P84" s="6"/>
      <c r="Q84" s="6"/>
      <c r="R84" s="6"/>
      <c r="S84" s="6"/>
      <c r="T84" s="6"/>
      <c r="U84" s="7"/>
    </row>
    <row r="85" ht="13.75" customHeight="1">
      <c r="A85" s="5"/>
      <c r="B85" s="608">
        <v>66</v>
      </c>
      <c r="C85" s="609">
        <f>IF($B$20:$B$499&lt;&gt;"",DATE(YEAR($E$11),MONTH($E$11)+($B$20:$B$499)*12/$E$10,DAY($E$11)),"")</f>
        <v>47270</v>
      </c>
      <c r="D85" s="610">
        <f>IF($B$20:$B$499&lt;&gt;"",J84,"")</f>
        <v>2640106.94928752</v>
      </c>
      <c r="E85" s="610">
        <f>IF($B$20:$B$499&lt;&gt;"",$K$7,"")</f>
        <v>24114.8980934895</v>
      </c>
      <c r="F85" s="610">
        <f>IF(AND($B$20:$B$499&lt;&gt;"",$E$20:$E$499+$E$12&lt;$D$20:$D$499),$E$12,IF(AND($B$20:$B$499&lt;&gt;"",$D$20:$D$499-$E$20:$E$499&gt;0),$D$20:$D$499-$E$20:$E$499,IF($B$20:$B$499&lt;&gt;"",0,"")))</f>
        <v>0</v>
      </c>
      <c r="G85" s="610">
        <f>IF(AND($B$20:$B$499&lt;&gt;"",$E$20:$E$499+$F$20:$F$499&lt;$D$20:$D$499),$E$20:$E$499+$F$20:$F$499,IF($B$20:$B$499&lt;&gt;"",$D$20:$D$499,""))</f>
        <v>24114.8980934895</v>
      </c>
      <c r="H85" s="610">
        <f>IF($B$20:$B$499&lt;&gt;"",$G$20:$G$499-$I$20:$I$499,"")</f>
        <v>8714.274222645599</v>
      </c>
      <c r="I85" s="610">
        <f>IF($B$20:$B$499&lt;&gt;"",$D$20:$D$499*$E$8/$E$10,"")</f>
        <v>15400.6238708439</v>
      </c>
      <c r="J85" s="610">
        <f>IF(AND($B$20:$B$499&lt;&gt;"",$E$20:$E$499+$F$20:$F$499&lt;$D$20:$D$499),$D$20:$D$499-$H$20:$H$499,IF($B$20:$B$499&lt;&gt;"",0,""))</f>
        <v>2631392.67506487</v>
      </c>
      <c r="K85" s="610">
        <f>SUM($I$20:$I85)</f>
        <v>1112575.94923519</v>
      </c>
      <c r="L85" s="371"/>
      <c r="M85" s="371"/>
      <c r="N85" s="6"/>
      <c r="O85" s="6"/>
      <c r="P85" s="6"/>
      <c r="Q85" s="6"/>
      <c r="R85" s="6"/>
      <c r="S85" s="6"/>
      <c r="T85" s="6"/>
      <c r="U85" s="7"/>
    </row>
    <row r="86" ht="13.75" customHeight="1">
      <c r="A86" s="5"/>
      <c r="B86" s="608">
        <v>67</v>
      </c>
      <c r="C86" s="609">
        <f>IF($B$20:$B$499&lt;&gt;"",DATE(YEAR($E$11),MONTH($E$11)+($B$20:$B$499)*12/$E$10,DAY($E$11)),"")</f>
        <v>47300</v>
      </c>
      <c r="D86" s="610">
        <f>IF($B$20:$B$499&lt;&gt;"",J85,"")</f>
        <v>2631392.67506487</v>
      </c>
      <c r="E86" s="610">
        <f>IF($B$20:$B$499&lt;&gt;"",$K$7,"")</f>
        <v>24114.8980934895</v>
      </c>
      <c r="F86" s="610">
        <f>IF(AND($B$20:$B$499&lt;&gt;"",$E$20:$E$499+$E$12&lt;$D$20:$D$499),$E$12,IF(AND($B$20:$B$499&lt;&gt;"",$D$20:$D$499-$E$20:$E$499&gt;0),$D$20:$D$499-$E$20:$E$499,IF($B$20:$B$499&lt;&gt;"",0,"")))</f>
        <v>0</v>
      </c>
      <c r="G86" s="610">
        <f>IF(AND($B$20:$B$499&lt;&gt;"",$E$20:$E$499+$F$20:$F$499&lt;$D$20:$D$499),$E$20:$E$499+$F$20:$F$499,IF($B$20:$B$499&lt;&gt;"",$D$20:$D$499,""))</f>
        <v>24114.8980934895</v>
      </c>
      <c r="H86" s="610">
        <f>IF($B$20:$B$499&lt;&gt;"",$G$20:$G$499-$I$20:$I$499,"")</f>
        <v>8765.107488944401</v>
      </c>
      <c r="I86" s="610">
        <f>IF($B$20:$B$499&lt;&gt;"",$D$20:$D$499*$E$8/$E$10,"")</f>
        <v>15349.7906045451</v>
      </c>
      <c r="J86" s="610">
        <f>IF(AND($B$20:$B$499&lt;&gt;"",$E$20:$E$499+$F$20:$F$499&lt;$D$20:$D$499),$D$20:$D$499-$H$20:$H$499,IF($B$20:$B$499&lt;&gt;"",0,""))</f>
        <v>2622627.56757593</v>
      </c>
      <c r="K86" s="610">
        <f>SUM($I$20:$I86)</f>
        <v>1127925.73983973</v>
      </c>
      <c r="L86" s="371"/>
      <c r="M86" s="371"/>
      <c r="N86" s="6"/>
      <c r="O86" s="6"/>
      <c r="P86" s="6"/>
      <c r="Q86" s="6"/>
      <c r="R86" s="6"/>
      <c r="S86" s="6"/>
      <c r="T86" s="6"/>
      <c r="U86" s="7"/>
    </row>
    <row r="87" ht="13.75" customHeight="1">
      <c r="A87" s="5"/>
      <c r="B87" s="608">
        <v>68</v>
      </c>
      <c r="C87" s="609">
        <f>IF($B$20:$B$499&lt;&gt;"",DATE(YEAR($E$11),MONTH($E$11)+($B$20:$B$499)*12/$E$10,DAY($E$11)),"")</f>
        <v>47331</v>
      </c>
      <c r="D87" s="610">
        <f>IF($B$20:$B$499&lt;&gt;"",J86,"")</f>
        <v>2622627.56757593</v>
      </c>
      <c r="E87" s="610">
        <f>IF($B$20:$B$499&lt;&gt;"",$K$7,"")</f>
        <v>24114.8980934895</v>
      </c>
      <c r="F87" s="610">
        <f>IF(AND($B$20:$B$499&lt;&gt;"",$E$20:$E$499+$E$12&lt;$D$20:$D$499),$E$12,IF(AND($B$20:$B$499&lt;&gt;"",$D$20:$D$499-$E$20:$E$499&gt;0),$D$20:$D$499-$E$20:$E$499,IF($B$20:$B$499&lt;&gt;"",0,"")))</f>
        <v>0</v>
      </c>
      <c r="G87" s="610">
        <f>IF(AND($B$20:$B$499&lt;&gt;"",$E$20:$E$499+$F$20:$F$499&lt;$D$20:$D$499),$E$20:$E$499+$F$20:$F$499,IF($B$20:$B$499&lt;&gt;"",$D$20:$D$499,""))</f>
        <v>24114.8980934895</v>
      </c>
      <c r="H87" s="610">
        <f>IF($B$20:$B$499&lt;&gt;"",$G$20:$G$499-$I$20:$I$499,"")</f>
        <v>8816.2372826299</v>
      </c>
      <c r="I87" s="610">
        <f>IF($B$20:$B$499&lt;&gt;"",$D$20:$D$499*$E$8/$E$10,"")</f>
        <v>15298.6608108596</v>
      </c>
      <c r="J87" s="610">
        <f>IF(AND($B$20:$B$499&lt;&gt;"",$E$20:$E$499+$F$20:$F$499&lt;$D$20:$D$499),$D$20:$D$499-$H$20:$H$499,IF($B$20:$B$499&lt;&gt;"",0,""))</f>
        <v>2613811.3302933</v>
      </c>
      <c r="K87" s="610">
        <f>SUM($I$20:$I87)</f>
        <v>1143224.40065059</v>
      </c>
      <c r="L87" s="371"/>
      <c r="M87" s="371"/>
      <c r="N87" s="6"/>
      <c r="O87" s="6"/>
      <c r="P87" s="6"/>
      <c r="Q87" s="6"/>
      <c r="R87" s="6"/>
      <c r="S87" s="6"/>
      <c r="T87" s="6"/>
      <c r="U87" s="7"/>
    </row>
    <row r="88" ht="13.75" customHeight="1">
      <c r="A88" s="5"/>
      <c r="B88" s="608">
        <v>69</v>
      </c>
      <c r="C88" s="609">
        <f>IF($B$20:$B$499&lt;&gt;"",DATE(YEAR($E$11),MONTH($E$11)+($B$20:$B$499)*12/$E$10,DAY($E$11)),"")</f>
        <v>47362</v>
      </c>
      <c r="D88" s="610">
        <f>IF($B$20:$B$499&lt;&gt;"",J87,"")</f>
        <v>2613811.3302933</v>
      </c>
      <c r="E88" s="610">
        <f>IF($B$20:$B$499&lt;&gt;"",$K$7,"")</f>
        <v>24114.8980934895</v>
      </c>
      <c r="F88" s="610">
        <f>IF(AND($B$20:$B$499&lt;&gt;"",$E$20:$E$499+$E$12&lt;$D$20:$D$499),$E$12,IF(AND($B$20:$B$499&lt;&gt;"",$D$20:$D$499-$E$20:$E$499&gt;0),$D$20:$D$499-$E$20:$E$499,IF($B$20:$B$499&lt;&gt;"",0,"")))</f>
        <v>0</v>
      </c>
      <c r="G88" s="610">
        <f>IF(AND($B$20:$B$499&lt;&gt;"",$E$20:$E$499+$F$20:$F$499&lt;$D$20:$D$499),$E$20:$E$499+$F$20:$F$499,IF($B$20:$B$499&lt;&gt;"",$D$20:$D$499,""))</f>
        <v>24114.8980934895</v>
      </c>
      <c r="H88" s="610">
        <f>IF($B$20:$B$499&lt;&gt;"",$G$20:$G$499-$I$20:$I$499,"")</f>
        <v>8867.6653334452</v>
      </c>
      <c r="I88" s="610">
        <f>IF($B$20:$B$499&lt;&gt;"",$D$20:$D$499*$E$8/$E$10,"")</f>
        <v>15247.2327600443</v>
      </c>
      <c r="J88" s="610">
        <f>IF(AND($B$20:$B$499&lt;&gt;"",$E$20:$E$499+$F$20:$F$499&lt;$D$20:$D$499),$D$20:$D$499-$H$20:$H$499,IF($B$20:$B$499&lt;&gt;"",0,""))</f>
        <v>2604943.66495985</v>
      </c>
      <c r="K88" s="610">
        <f>SUM($I$20:$I88)</f>
        <v>1158471.63341064</v>
      </c>
      <c r="L88" s="371"/>
      <c r="M88" s="371"/>
      <c r="N88" s="6"/>
      <c r="O88" s="6"/>
      <c r="P88" s="6"/>
      <c r="Q88" s="6"/>
      <c r="R88" s="6"/>
      <c r="S88" s="6"/>
      <c r="T88" s="6"/>
      <c r="U88" s="7"/>
    </row>
    <row r="89" ht="13.75" customHeight="1">
      <c r="A89" s="5"/>
      <c r="B89" s="608">
        <v>70</v>
      </c>
      <c r="C89" s="609">
        <f>IF($B$20:$B$499&lt;&gt;"",DATE(YEAR($E$11),MONTH($E$11)+($B$20:$B$499)*12/$E$10,DAY($E$11)),"")</f>
        <v>47392</v>
      </c>
      <c r="D89" s="610">
        <f>IF($B$20:$B$499&lt;&gt;"",J88,"")</f>
        <v>2604943.66495985</v>
      </c>
      <c r="E89" s="610">
        <f>IF($B$20:$B$499&lt;&gt;"",$K$7,"")</f>
        <v>24114.8980934895</v>
      </c>
      <c r="F89" s="610">
        <f>IF(AND($B$20:$B$499&lt;&gt;"",$E$20:$E$499+$E$12&lt;$D$20:$D$499),$E$12,IF(AND($B$20:$B$499&lt;&gt;"",$D$20:$D$499-$E$20:$E$499&gt;0),$D$20:$D$499-$E$20:$E$499,IF($B$20:$B$499&lt;&gt;"",0,"")))</f>
        <v>0</v>
      </c>
      <c r="G89" s="610">
        <f>IF(AND($B$20:$B$499&lt;&gt;"",$E$20:$E$499+$F$20:$F$499&lt;$D$20:$D$499),$E$20:$E$499+$F$20:$F$499,IF($B$20:$B$499&lt;&gt;"",$D$20:$D$499,""))</f>
        <v>24114.8980934895</v>
      </c>
      <c r="H89" s="610">
        <f>IF($B$20:$B$499&lt;&gt;"",$G$20:$G$499-$I$20:$I$499,"")</f>
        <v>8919.393381223699</v>
      </c>
      <c r="I89" s="610">
        <f>IF($B$20:$B$499&lt;&gt;"",$D$20:$D$499*$E$8/$E$10,"")</f>
        <v>15195.5047122658</v>
      </c>
      <c r="J89" s="610">
        <f>IF(AND($B$20:$B$499&lt;&gt;"",$E$20:$E$499+$F$20:$F$499&lt;$D$20:$D$499),$D$20:$D$499-$H$20:$H$499,IF($B$20:$B$499&lt;&gt;"",0,""))</f>
        <v>2596024.27157863</v>
      </c>
      <c r="K89" s="610">
        <f>SUM($I$20:$I89)</f>
        <v>1173667.1381229</v>
      </c>
      <c r="L89" s="371"/>
      <c r="M89" s="371"/>
      <c r="N89" s="6"/>
      <c r="O89" s="6"/>
      <c r="P89" s="6"/>
      <c r="Q89" s="6"/>
      <c r="R89" s="6"/>
      <c r="S89" s="6"/>
      <c r="T89" s="6"/>
      <c r="U89" s="7"/>
    </row>
    <row r="90" ht="13.75" customHeight="1">
      <c r="A90" s="5"/>
      <c r="B90" s="608">
        <v>71</v>
      </c>
      <c r="C90" s="609">
        <f>IF($B$20:$B$499&lt;&gt;"",DATE(YEAR($E$11),MONTH($E$11)+($B$20:$B$499)*12/$E$10,DAY($E$11)),"")</f>
        <v>47423</v>
      </c>
      <c r="D90" s="610">
        <f>IF($B$20:$B$499&lt;&gt;"",J89,"")</f>
        <v>2596024.27157863</v>
      </c>
      <c r="E90" s="610">
        <f>IF($B$20:$B$499&lt;&gt;"",$K$7,"")</f>
        <v>24114.8980934895</v>
      </c>
      <c r="F90" s="610">
        <f>IF(AND($B$20:$B$499&lt;&gt;"",$E$20:$E$499+$E$12&lt;$D$20:$D$499),$E$12,IF(AND($B$20:$B$499&lt;&gt;"",$D$20:$D$499-$E$20:$E$499&gt;0),$D$20:$D$499-$E$20:$E$499,IF($B$20:$B$499&lt;&gt;"",0,"")))</f>
        <v>0</v>
      </c>
      <c r="G90" s="610">
        <f>IF(AND($B$20:$B$499&lt;&gt;"",$E$20:$E$499+$F$20:$F$499&lt;$D$20:$D$499),$E$20:$E$499+$F$20:$F$499,IF($B$20:$B$499&lt;&gt;"",$D$20:$D$499,""))</f>
        <v>24114.8980934895</v>
      </c>
      <c r="H90" s="610">
        <f>IF($B$20:$B$499&lt;&gt;"",$G$20:$G$499-$I$20:$I$499,"")</f>
        <v>8971.423175947501</v>
      </c>
      <c r="I90" s="610">
        <f>IF($B$20:$B$499&lt;&gt;"",$D$20:$D$499*$E$8/$E$10,"")</f>
        <v>15143.474917542</v>
      </c>
      <c r="J90" s="610">
        <f>IF(AND($B$20:$B$499&lt;&gt;"",$E$20:$E$499+$F$20:$F$499&lt;$D$20:$D$499),$D$20:$D$499-$H$20:$H$499,IF($B$20:$B$499&lt;&gt;"",0,""))</f>
        <v>2587052.84840268</v>
      </c>
      <c r="K90" s="610">
        <f>SUM($I$20:$I90)</f>
        <v>1188810.61304044</v>
      </c>
      <c r="L90" s="371"/>
      <c r="M90" s="371"/>
      <c r="N90" s="6"/>
      <c r="O90" s="6"/>
      <c r="P90" s="6"/>
      <c r="Q90" s="6"/>
      <c r="R90" s="6"/>
      <c r="S90" s="6"/>
      <c r="T90" s="6"/>
      <c r="U90" s="7"/>
    </row>
    <row r="91" ht="13.75" customHeight="1">
      <c r="A91" s="5"/>
      <c r="B91" s="608">
        <v>72</v>
      </c>
      <c r="C91" s="609">
        <f>IF($B$20:$B$499&lt;&gt;"",DATE(YEAR($E$11),MONTH($E$11)+($B$20:$B$499)*12/$E$10,DAY($E$11)),"")</f>
        <v>47453</v>
      </c>
      <c r="D91" s="610">
        <f>IF($B$20:$B$499&lt;&gt;"",J90,"")</f>
        <v>2587052.84840268</v>
      </c>
      <c r="E91" s="610">
        <f>IF($B$20:$B$499&lt;&gt;"",$K$7,"")</f>
        <v>24114.8980934895</v>
      </c>
      <c r="F91" s="610">
        <f>IF(AND($B$20:$B$499&lt;&gt;"",$E$20:$E$499+$E$12&lt;$D$20:$D$499),$E$12,IF(AND($B$20:$B$499&lt;&gt;"",$D$20:$D$499-$E$20:$E$499&gt;0),$D$20:$D$499-$E$20:$E$499,IF($B$20:$B$499&lt;&gt;"",0,"")))</f>
        <v>0</v>
      </c>
      <c r="G91" s="610">
        <f>IF(AND($B$20:$B$499&lt;&gt;"",$E$20:$E$499+$F$20:$F$499&lt;$D$20:$D$499),$E$20:$E$499+$F$20:$F$499,IF($B$20:$B$499&lt;&gt;"",$D$20:$D$499,""))</f>
        <v>24114.8980934895</v>
      </c>
      <c r="H91" s="610">
        <f>IF($B$20:$B$499&lt;&gt;"",$G$20:$G$499-$I$20:$I$499,"")</f>
        <v>9023.756477807199</v>
      </c>
      <c r="I91" s="610">
        <f>IF($B$20:$B$499&lt;&gt;"",$D$20:$D$499*$E$8/$E$10,"")</f>
        <v>15091.1416156823</v>
      </c>
      <c r="J91" s="610">
        <f>IF(AND($B$20:$B$499&lt;&gt;"",$E$20:$E$499+$F$20:$F$499&lt;$D$20:$D$499),$D$20:$D$499-$H$20:$H$499,IF($B$20:$B$499&lt;&gt;"",0,""))</f>
        <v>2578029.09192487</v>
      </c>
      <c r="K91" s="610">
        <f>SUM($I$20:$I91)</f>
        <v>1203901.75465613</v>
      </c>
      <c r="L91" s="371"/>
      <c r="M91" s="371"/>
      <c r="N91" s="6"/>
      <c r="O91" s="6"/>
      <c r="P91" s="6"/>
      <c r="Q91" s="6"/>
      <c r="R91" s="6"/>
      <c r="S91" s="6"/>
      <c r="T91" s="6"/>
      <c r="U91" s="7"/>
    </row>
    <row r="92" ht="13.75" customHeight="1">
      <c r="A92" s="5"/>
      <c r="B92" s="608">
        <v>73</v>
      </c>
      <c r="C92" s="609">
        <f>IF($B$20:$B$499&lt;&gt;"",DATE(YEAR($E$11),MONTH($E$11)+($B$20:$B$499)*12/$E$10,DAY($E$11)),"")</f>
        <v>47484</v>
      </c>
      <c r="D92" s="610">
        <f>IF($B$20:$B$499&lt;&gt;"",J91,"")</f>
        <v>2578029.09192487</v>
      </c>
      <c r="E92" s="610">
        <f>IF($B$20:$B$499&lt;&gt;"",$K$7,"")</f>
        <v>24114.8980934895</v>
      </c>
      <c r="F92" s="610">
        <f>IF(AND($B$20:$B$499&lt;&gt;"",$E$20:$E$499+$E$12&lt;$D$20:$D$499),$E$12,IF(AND($B$20:$B$499&lt;&gt;"",$D$20:$D$499-$E$20:$E$499&gt;0),$D$20:$D$499-$E$20:$E$499,IF($B$20:$B$499&lt;&gt;"",0,"")))</f>
        <v>0</v>
      </c>
      <c r="G92" s="610">
        <f>IF(AND($B$20:$B$499&lt;&gt;"",$E$20:$E$499+$F$20:$F$499&lt;$D$20:$D$499),$E$20:$E$499+$F$20:$F$499,IF($B$20:$B$499&lt;&gt;"",$D$20:$D$499,""))</f>
        <v>24114.8980934895</v>
      </c>
      <c r="H92" s="610">
        <f>IF($B$20:$B$499&lt;&gt;"",$G$20:$G$499-$I$20:$I$499,"")</f>
        <v>9076.395057261099</v>
      </c>
      <c r="I92" s="610">
        <f>IF($B$20:$B$499&lt;&gt;"",$D$20:$D$499*$E$8/$E$10,"")</f>
        <v>15038.5030362284</v>
      </c>
      <c r="J92" s="610">
        <f>IF(AND($B$20:$B$499&lt;&gt;"",$E$20:$E$499+$F$20:$F$499&lt;$D$20:$D$499),$D$20:$D$499-$H$20:$H$499,IF($B$20:$B$499&lt;&gt;"",0,""))</f>
        <v>2568952.69686761</v>
      </c>
      <c r="K92" s="610">
        <f>SUM($I$20:$I92)</f>
        <v>1218940.25769235</v>
      </c>
      <c r="L92" s="371"/>
      <c r="M92" s="371"/>
      <c r="N92" s="6"/>
      <c r="O92" s="6"/>
      <c r="P92" s="6"/>
      <c r="Q92" s="6"/>
      <c r="R92" s="6"/>
      <c r="S92" s="6"/>
      <c r="T92" s="6"/>
      <c r="U92" s="7"/>
    </row>
    <row r="93" ht="13.75" customHeight="1">
      <c r="A93" s="5"/>
      <c r="B93" s="608">
        <v>74</v>
      </c>
      <c r="C93" s="609">
        <f>IF($B$20:$B$499&lt;&gt;"",DATE(YEAR($E$11),MONTH($E$11)+($B$20:$B$499)*12/$E$10,DAY($E$11)),"")</f>
        <v>47515</v>
      </c>
      <c r="D93" s="610">
        <f>IF($B$20:$B$499&lt;&gt;"",J92,"")</f>
        <v>2568952.69686761</v>
      </c>
      <c r="E93" s="610">
        <f>IF($B$20:$B$499&lt;&gt;"",$K$7,"")</f>
        <v>24114.8980934895</v>
      </c>
      <c r="F93" s="610">
        <f>IF(AND($B$20:$B$499&lt;&gt;"",$E$20:$E$499+$E$12&lt;$D$20:$D$499),$E$12,IF(AND($B$20:$B$499&lt;&gt;"",$D$20:$D$499-$E$20:$E$499&gt;0),$D$20:$D$499-$E$20:$E$499,IF($B$20:$B$499&lt;&gt;"",0,"")))</f>
        <v>0</v>
      </c>
      <c r="G93" s="610">
        <f>IF(AND($B$20:$B$499&lt;&gt;"",$E$20:$E$499+$F$20:$F$499&lt;$D$20:$D$499),$E$20:$E$499+$F$20:$F$499,IF($B$20:$B$499&lt;&gt;"",$D$20:$D$499,""))</f>
        <v>24114.8980934895</v>
      </c>
      <c r="H93" s="610">
        <f>IF($B$20:$B$499&lt;&gt;"",$G$20:$G$499-$I$20:$I$499,"")</f>
        <v>9129.340695095099</v>
      </c>
      <c r="I93" s="610">
        <f>IF($B$20:$B$499&lt;&gt;"",$D$20:$D$499*$E$8/$E$10,"")</f>
        <v>14985.5573983944</v>
      </c>
      <c r="J93" s="610">
        <f>IF(AND($B$20:$B$499&lt;&gt;"",$E$20:$E$499+$F$20:$F$499&lt;$D$20:$D$499),$D$20:$D$499-$H$20:$H$499,IF($B$20:$B$499&lt;&gt;"",0,""))</f>
        <v>2559823.35617251</v>
      </c>
      <c r="K93" s="610">
        <f>SUM($I$20:$I93)</f>
        <v>1233925.81509075</v>
      </c>
      <c r="L93" s="371"/>
      <c r="M93" s="371"/>
      <c r="N93" s="6"/>
      <c r="O93" s="6"/>
      <c r="P93" s="6"/>
      <c r="Q93" s="6"/>
      <c r="R93" s="6"/>
      <c r="S93" s="6"/>
      <c r="T93" s="6"/>
      <c r="U93" s="7"/>
    </row>
    <row r="94" ht="13.75" customHeight="1">
      <c r="A94" s="5"/>
      <c r="B94" s="608">
        <v>75</v>
      </c>
      <c r="C94" s="609">
        <f>IF($B$20:$B$499&lt;&gt;"",DATE(YEAR($E$11),MONTH($E$11)+($B$20:$B$499)*12/$E$10,DAY($E$11)),"")</f>
        <v>47543</v>
      </c>
      <c r="D94" s="610">
        <f>IF($B$20:$B$499&lt;&gt;"",J93,"")</f>
        <v>2559823.35617251</v>
      </c>
      <c r="E94" s="610">
        <f>IF($B$20:$B$499&lt;&gt;"",$K$7,"")</f>
        <v>24114.8980934895</v>
      </c>
      <c r="F94" s="610">
        <f>IF(AND($B$20:$B$499&lt;&gt;"",$E$20:$E$499+$E$12&lt;$D$20:$D$499),$E$12,IF(AND($B$20:$B$499&lt;&gt;"",$D$20:$D$499-$E$20:$E$499&gt;0),$D$20:$D$499-$E$20:$E$499,IF($B$20:$B$499&lt;&gt;"",0,"")))</f>
        <v>0</v>
      </c>
      <c r="G94" s="610">
        <f>IF(AND($B$20:$B$499&lt;&gt;"",$E$20:$E$499+$F$20:$F$499&lt;$D$20:$D$499),$E$20:$E$499+$F$20:$F$499,IF($B$20:$B$499&lt;&gt;"",$D$20:$D$499,""))</f>
        <v>24114.8980934895</v>
      </c>
      <c r="H94" s="610">
        <f>IF($B$20:$B$499&lt;&gt;"",$G$20:$G$499-$I$20:$I$499,"")</f>
        <v>9182.595182483199</v>
      </c>
      <c r="I94" s="610">
        <f>IF($B$20:$B$499&lt;&gt;"",$D$20:$D$499*$E$8/$E$10,"")</f>
        <v>14932.3029110063</v>
      </c>
      <c r="J94" s="610">
        <f>IF(AND($B$20:$B$499&lt;&gt;"",$E$20:$E$499+$F$20:$F$499&lt;$D$20:$D$499),$D$20:$D$499-$H$20:$H$499,IF($B$20:$B$499&lt;&gt;"",0,""))</f>
        <v>2550640.76099003</v>
      </c>
      <c r="K94" s="610">
        <f>SUM($I$20:$I94)</f>
        <v>1248858.11800175</v>
      </c>
      <c r="L94" s="371"/>
      <c r="M94" s="371"/>
      <c r="N94" s="6"/>
      <c r="O94" s="6"/>
      <c r="P94" s="6"/>
      <c r="Q94" s="6"/>
      <c r="R94" s="6"/>
      <c r="S94" s="6"/>
      <c r="T94" s="6"/>
      <c r="U94" s="7"/>
    </row>
    <row r="95" ht="13.75" customHeight="1">
      <c r="A95" s="5"/>
      <c r="B95" s="608">
        <v>76</v>
      </c>
      <c r="C95" s="609">
        <f>IF($B$20:$B$499&lt;&gt;"",DATE(YEAR($E$11),MONTH($E$11)+($B$20:$B$499)*12/$E$10,DAY($E$11)),"")</f>
        <v>47574</v>
      </c>
      <c r="D95" s="610">
        <f>IF($B$20:$B$499&lt;&gt;"",J94,"")</f>
        <v>2550640.76099003</v>
      </c>
      <c r="E95" s="610">
        <f>IF($B$20:$B$499&lt;&gt;"",$K$7,"")</f>
        <v>24114.8980934895</v>
      </c>
      <c r="F95" s="610">
        <f>IF(AND($B$20:$B$499&lt;&gt;"",$E$20:$E$499+$E$12&lt;$D$20:$D$499),$E$12,IF(AND($B$20:$B$499&lt;&gt;"",$D$20:$D$499-$E$20:$E$499&gt;0),$D$20:$D$499-$E$20:$E$499,IF($B$20:$B$499&lt;&gt;"",0,"")))</f>
        <v>0</v>
      </c>
      <c r="G95" s="610">
        <f>IF(AND($B$20:$B$499&lt;&gt;"",$E$20:$E$499+$F$20:$F$499&lt;$D$20:$D$499),$E$20:$E$499+$F$20:$F$499,IF($B$20:$B$499&lt;&gt;"",$D$20:$D$499,""))</f>
        <v>24114.8980934895</v>
      </c>
      <c r="H95" s="610">
        <f>IF($B$20:$B$499&lt;&gt;"",$G$20:$G$499-$I$20:$I$499,"")</f>
        <v>9236.160321047701</v>
      </c>
      <c r="I95" s="610">
        <f>IF($B$20:$B$499&lt;&gt;"",$D$20:$D$499*$E$8/$E$10,"")</f>
        <v>14878.7377724418</v>
      </c>
      <c r="J95" s="610">
        <f>IF(AND($B$20:$B$499&lt;&gt;"",$E$20:$E$499+$F$20:$F$499&lt;$D$20:$D$499),$D$20:$D$499-$H$20:$H$499,IF($B$20:$B$499&lt;&gt;"",0,""))</f>
        <v>2541404.60066898</v>
      </c>
      <c r="K95" s="610">
        <f>SUM($I$20:$I95)</f>
        <v>1263736.8557742</v>
      </c>
      <c r="L95" s="371"/>
      <c r="M95" s="371"/>
      <c r="N95" s="6"/>
      <c r="O95" s="6"/>
      <c r="P95" s="6"/>
      <c r="Q95" s="6"/>
      <c r="R95" s="6"/>
      <c r="S95" s="6"/>
      <c r="T95" s="6"/>
      <c r="U95" s="7"/>
    </row>
    <row r="96" ht="13.75" customHeight="1">
      <c r="A96" s="5"/>
      <c r="B96" s="608">
        <v>77</v>
      </c>
      <c r="C96" s="609">
        <f>IF($B$20:$B$499&lt;&gt;"",DATE(YEAR($E$11),MONTH($E$11)+($B$20:$B$499)*12/$E$10,DAY($E$11)),"")</f>
        <v>47604</v>
      </c>
      <c r="D96" s="610">
        <f>IF($B$20:$B$499&lt;&gt;"",J95,"")</f>
        <v>2541404.60066898</v>
      </c>
      <c r="E96" s="610">
        <f>IF($B$20:$B$499&lt;&gt;"",$K$7,"")</f>
        <v>24114.8980934895</v>
      </c>
      <c r="F96" s="610">
        <f>IF(AND($B$20:$B$499&lt;&gt;"",$E$20:$E$499+$E$12&lt;$D$20:$D$499),$E$12,IF(AND($B$20:$B$499&lt;&gt;"",$D$20:$D$499-$E$20:$E$499&gt;0),$D$20:$D$499-$E$20:$E$499,IF($B$20:$B$499&lt;&gt;"",0,"")))</f>
        <v>0</v>
      </c>
      <c r="G96" s="610">
        <f>IF(AND($B$20:$B$499&lt;&gt;"",$E$20:$E$499+$F$20:$F$499&lt;$D$20:$D$499),$E$20:$E$499+$F$20:$F$499,IF($B$20:$B$499&lt;&gt;"",$D$20:$D$499,""))</f>
        <v>24114.8980934895</v>
      </c>
      <c r="H96" s="610">
        <f>IF($B$20:$B$499&lt;&gt;"",$G$20:$G$499-$I$20:$I$499,"")</f>
        <v>9290.037922920401</v>
      </c>
      <c r="I96" s="610">
        <f>IF($B$20:$B$499&lt;&gt;"",$D$20:$D$499*$E$8/$E$10,"")</f>
        <v>14824.8601705691</v>
      </c>
      <c r="J96" s="610">
        <f>IF(AND($B$20:$B$499&lt;&gt;"",$E$20:$E$499+$F$20:$F$499&lt;$D$20:$D$499),$D$20:$D$499-$H$20:$H$499,IF($B$20:$B$499&lt;&gt;"",0,""))</f>
        <v>2532114.56274606</v>
      </c>
      <c r="K96" s="610">
        <f>SUM($I$20:$I96)</f>
        <v>1278561.71594477</v>
      </c>
      <c r="L96" s="371"/>
      <c r="M96" s="371"/>
      <c r="N96" s="6"/>
      <c r="O96" s="6"/>
      <c r="P96" s="6"/>
      <c r="Q96" s="6"/>
      <c r="R96" s="6"/>
      <c r="S96" s="6"/>
      <c r="T96" s="6"/>
      <c r="U96" s="7"/>
    </row>
    <row r="97" ht="13.75" customHeight="1">
      <c r="A97" s="5"/>
      <c r="B97" s="608">
        <v>78</v>
      </c>
      <c r="C97" s="609">
        <f>IF($B$20:$B$499&lt;&gt;"",DATE(YEAR($E$11),MONTH($E$11)+($B$20:$B$499)*12/$E$10,DAY($E$11)),"")</f>
        <v>47635</v>
      </c>
      <c r="D97" s="610">
        <f>IF($B$20:$B$499&lt;&gt;"",J96,"")</f>
        <v>2532114.56274606</v>
      </c>
      <c r="E97" s="610">
        <f>IF($B$20:$B$499&lt;&gt;"",$K$7,"")</f>
        <v>24114.8980934895</v>
      </c>
      <c r="F97" s="610">
        <f>IF(AND($B$20:$B$499&lt;&gt;"",$E$20:$E$499+$E$12&lt;$D$20:$D$499),$E$12,IF(AND($B$20:$B$499&lt;&gt;"",$D$20:$D$499-$E$20:$E$499&gt;0),$D$20:$D$499-$E$20:$E$499,IF($B$20:$B$499&lt;&gt;"",0,"")))</f>
        <v>0</v>
      </c>
      <c r="G97" s="610">
        <f>IF(AND($B$20:$B$499&lt;&gt;"",$E$20:$E$499+$F$20:$F$499&lt;$D$20:$D$499),$E$20:$E$499+$F$20:$F$499,IF($B$20:$B$499&lt;&gt;"",$D$20:$D$499,""))</f>
        <v>24114.8980934895</v>
      </c>
      <c r="H97" s="610">
        <f>IF($B$20:$B$499&lt;&gt;"",$G$20:$G$499-$I$20:$I$499,"")</f>
        <v>9344.2298108041</v>
      </c>
      <c r="I97" s="610">
        <f>IF($B$20:$B$499&lt;&gt;"",$D$20:$D$499*$E$8/$E$10,"")</f>
        <v>14770.6682826854</v>
      </c>
      <c r="J97" s="610">
        <f>IF(AND($B$20:$B$499&lt;&gt;"",$E$20:$E$499+$F$20:$F$499&lt;$D$20:$D$499),$D$20:$D$499-$H$20:$H$499,IF($B$20:$B$499&lt;&gt;"",0,""))</f>
        <v>2522770.33293526</v>
      </c>
      <c r="K97" s="610">
        <f>SUM($I$20:$I97)</f>
        <v>1293332.38422745</v>
      </c>
      <c r="L97" s="371"/>
      <c r="M97" s="371"/>
      <c r="N97" s="6"/>
      <c r="O97" s="6"/>
      <c r="P97" s="6"/>
      <c r="Q97" s="6"/>
      <c r="R97" s="6"/>
      <c r="S97" s="6"/>
      <c r="T97" s="6"/>
      <c r="U97" s="7"/>
    </row>
    <row r="98" ht="13.75" customHeight="1">
      <c r="A98" s="5"/>
      <c r="B98" s="608">
        <v>79</v>
      </c>
      <c r="C98" s="609">
        <f>IF($B$20:$B$499&lt;&gt;"",DATE(YEAR($E$11),MONTH($E$11)+($B$20:$B$499)*12/$E$10,DAY($E$11)),"")</f>
        <v>47665</v>
      </c>
      <c r="D98" s="610">
        <f>IF($B$20:$B$499&lt;&gt;"",J97,"")</f>
        <v>2522770.33293526</v>
      </c>
      <c r="E98" s="610">
        <f>IF($B$20:$B$499&lt;&gt;"",$K$7,"")</f>
        <v>24114.8980934895</v>
      </c>
      <c r="F98" s="610">
        <f>IF(AND($B$20:$B$499&lt;&gt;"",$E$20:$E$499+$E$12&lt;$D$20:$D$499),$E$12,IF(AND($B$20:$B$499&lt;&gt;"",$D$20:$D$499-$E$20:$E$499&gt;0),$D$20:$D$499-$E$20:$E$499,IF($B$20:$B$499&lt;&gt;"",0,"")))</f>
        <v>0</v>
      </c>
      <c r="G98" s="610">
        <f>IF(AND($B$20:$B$499&lt;&gt;"",$E$20:$E$499+$F$20:$F$499&lt;$D$20:$D$499),$E$20:$E$499+$F$20:$F$499,IF($B$20:$B$499&lt;&gt;"",$D$20:$D$499,""))</f>
        <v>24114.8980934895</v>
      </c>
      <c r="H98" s="610">
        <f>IF($B$20:$B$499&lt;&gt;"",$G$20:$G$499-$I$20:$I$499,"")</f>
        <v>9398.7378180338</v>
      </c>
      <c r="I98" s="610">
        <f>IF($B$20:$B$499&lt;&gt;"",$D$20:$D$499*$E$8/$E$10,"")</f>
        <v>14716.1602754557</v>
      </c>
      <c r="J98" s="610">
        <f>IF(AND($B$20:$B$499&lt;&gt;"",$E$20:$E$499+$F$20:$F$499&lt;$D$20:$D$499),$D$20:$D$499-$H$20:$H$499,IF($B$20:$B$499&lt;&gt;"",0,""))</f>
        <v>2513371.59511723</v>
      </c>
      <c r="K98" s="610">
        <f>SUM($I$20:$I98)</f>
        <v>1308048.54450291</v>
      </c>
      <c r="L98" s="371"/>
      <c r="M98" s="371"/>
      <c r="N98" s="6"/>
      <c r="O98" s="6"/>
      <c r="P98" s="6"/>
      <c r="Q98" s="6"/>
      <c r="R98" s="6"/>
      <c r="S98" s="6"/>
      <c r="T98" s="6"/>
      <c r="U98" s="7"/>
    </row>
    <row r="99" ht="13.75" customHeight="1">
      <c r="A99" s="5"/>
      <c r="B99" s="608">
        <v>80</v>
      </c>
      <c r="C99" s="609">
        <f>IF($B$20:$B$499&lt;&gt;"",DATE(YEAR($E$11),MONTH($E$11)+($B$20:$B$499)*12/$E$10,DAY($E$11)),"")</f>
        <v>47696</v>
      </c>
      <c r="D99" s="610">
        <f>IF($B$20:$B$499&lt;&gt;"",J98,"")</f>
        <v>2513371.59511723</v>
      </c>
      <c r="E99" s="610">
        <f>IF($B$20:$B$499&lt;&gt;"",$K$7,"")</f>
        <v>24114.8980934895</v>
      </c>
      <c r="F99" s="610">
        <f>IF(AND($B$20:$B$499&lt;&gt;"",$E$20:$E$499+$E$12&lt;$D$20:$D$499),$E$12,IF(AND($B$20:$B$499&lt;&gt;"",$D$20:$D$499-$E$20:$E$499&gt;0),$D$20:$D$499-$E$20:$E$499,IF($B$20:$B$499&lt;&gt;"",0,"")))</f>
        <v>0</v>
      </c>
      <c r="G99" s="610">
        <f>IF(AND($B$20:$B$499&lt;&gt;"",$E$20:$E$499+$F$20:$F$499&lt;$D$20:$D$499),$E$20:$E$499+$F$20:$F$499,IF($B$20:$B$499&lt;&gt;"",$D$20:$D$499,""))</f>
        <v>24114.8980934895</v>
      </c>
      <c r="H99" s="610">
        <f>IF($B$20:$B$499&lt;&gt;"",$G$20:$G$499-$I$20:$I$499,"")</f>
        <v>9453.563788639</v>
      </c>
      <c r="I99" s="610">
        <f>IF($B$20:$B$499&lt;&gt;"",$D$20:$D$499*$E$8/$E$10,"")</f>
        <v>14661.3343048505</v>
      </c>
      <c r="J99" s="610">
        <f>IF(AND($B$20:$B$499&lt;&gt;"",$E$20:$E$499+$F$20:$F$499&lt;$D$20:$D$499),$D$20:$D$499-$H$20:$H$499,IF($B$20:$B$499&lt;&gt;"",0,""))</f>
        <v>2503918.03132859</v>
      </c>
      <c r="K99" s="610">
        <f>SUM($I$20:$I99)</f>
        <v>1322709.87880776</v>
      </c>
      <c r="L99" s="371"/>
      <c r="M99" s="371"/>
      <c r="N99" s="6"/>
      <c r="O99" s="6"/>
      <c r="P99" s="6"/>
      <c r="Q99" s="6"/>
      <c r="R99" s="6"/>
      <c r="S99" s="6"/>
      <c r="T99" s="6"/>
      <c r="U99" s="7"/>
    </row>
    <row r="100" ht="13.75" customHeight="1">
      <c r="A100" s="5"/>
      <c r="B100" s="608">
        <v>81</v>
      </c>
      <c r="C100" s="609">
        <f>IF($B$20:$B$499&lt;&gt;"",DATE(YEAR($E$11),MONTH($E$11)+($B$20:$B$499)*12/$E$10,DAY($E$11)),"")</f>
        <v>47727</v>
      </c>
      <c r="D100" s="610">
        <f>IF($B$20:$B$499&lt;&gt;"",J99,"")</f>
        <v>2503918.03132859</v>
      </c>
      <c r="E100" s="610">
        <f>IF($B$20:$B$499&lt;&gt;"",$K$7,"")</f>
        <v>24114.8980934895</v>
      </c>
      <c r="F100" s="610">
        <f>IF(AND($B$20:$B$499&lt;&gt;"",$E$20:$E$499+$E$12&lt;$D$20:$D$499),$E$12,IF(AND($B$20:$B$499&lt;&gt;"",$D$20:$D$499-$E$20:$E$499&gt;0),$D$20:$D$499-$E$20:$E$499,IF($B$20:$B$499&lt;&gt;"",0,"")))</f>
        <v>0</v>
      </c>
      <c r="G100" s="610">
        <f>IF(AND($B$20:$B$499&lt;&gt;"",$E$20:$E$499+$F$20:$F$499&lt;$D$20:$D$499),$E$20:$E$499+$F$20:$F$499,IF($B$20:$B$499&lt;&gt;"",$D$20:$D$499,""))</f>
        <v>24114.8980934895</v>
      </c>
      <c r="H100" s="610">
        <f>IF($B$20:$B$499&lt;&gt;"",$G$20:$G$499-$I$20:$I$499,"")</f>
        <v>9508.7095774061</v>
      </c>
      <c r="I100" s="610">
        <f>IF($B$20:$B$499&lt;&gt;"",$D$20:$D$499*$E$8/$E$10,"")</f>
        <v>14606.1885160834</v>
      </c>
      <c r="J100" s="610">
        <f>IF(AND($B$20:$B$499&lt;&gt;"",$E$20:$E$499+$F$20:$F$499&lt;$D$20:$D$499),$D$20:$D$499-$H$20:$H$499,IF($B$20:$B$499&lt;&gt;"",0,""))</f>
        <v>2494409.32175118</v>
      </c>
      <c r="K100" s="610">
        <f>SUM($I$20:$I100)</f>
        <v>1337316.06732384</v>
      </c>
      <c r="L100" s="371"/>
      <c r="M100" s="371"/>
      <c r="N100" s="6"/>
      <c r="O100" s="6"/>
      <c r="P100" s="6"/>
      <c r="Q100" s="6"/>
      <c r="R100" s="6"/>
      <c r="S100" s="6"/>
      <c r="T100" s="6"/>
      <c r="U100" s="7"/>
    </row>
    <row r="101" ht="13.75" customHeight="1">
      <c r="A101" s="5"/>
      <c r="B101" s="608">
        <v>82</v>
      </c>
      <c r="C101" s="609">
        <f>IF($B$20:$B$499&lt;&gt;"",DATE(YEAR($E$11),MONTH($E$11)+($B$20:$B$499)*12/$E$10,DAY($E$11)),"")</f>
        <v>47757</v>
      </c>
      <c r="D101" s="610">
        <f>IF($B$20:$B$499&lt;&gt;"",J100,"")</f>
        <v>2494409.32175118</v>
      </c>
      <c r="E101" s="610">
        <f>IF($B$20:$B$499&lt;&gt;"",$K$7,"")</f>
        <v>24114.8980934895</v>
      </c>
      <c r="F101" s="610">
        <f>IF(AND($B$20:$B$499&lt;&gt;"",$E$20:$E$499+$E$12&lt;$D$20:$D$499),$E$12,IF(AND($B$20:$B$499&lt;&gt;"",$D$20:$D$499-$E$20:$E$499&gt;0),$D$20:$D$499-$E$20:$E$499,IF($B$20:$B$499&lt;&gt;"",0,"")))</f>
        <v>0</v>
      </c>
      <c r="G101" s="610">
        <f>IF(AND($B$20:$B$499&lt;&gt;"",$E$20:$E$499+$F$20:$F$499&lt;$D$20:$D$499),$E$20:$E$499+$F$20:$F$499,IF($B$20:$B$499&lt;&gt;"",$D$20:$D$499,""))</f>
        <v>24114.8980934895</v>
      </c>
      <c r="H101" s="610">
        <f>IF($B$20:$B$499&lt;&gt;"",$G$20:$G$499-$I$20:$I$499,"")</f>
        <v>9564.177049940899</v>
      </c>
      <c r="I101" s="610">
        <f>IF($B$20:$B$499&lt;&gt;"",$D$20:$D$499*$E$8/$E$10,"")</f>
        <v>14550.7210435486</v>
      </c>
      <c r="J101" s="610">
        <f>IF(AND($B$20:$B$499&lt;&gt;"",$E$20:$E$499+$F$20:$F$499&lt;$D$20:$D$499),$D$20:$D$499-$H$20:$H$499,IF($B$20:$B$499&lt;&gt;"",0,""))</f>
        <v>2484845.14470124</v>
      </c>
      <c r="K101" s="610">
        <f>SUM($I$20:$I101)</f>
        <v>1351866.78836739</v>
      </c>
      <c r="L101" s="371"/>
      <c r="M101" s="371"/>
      <c r="N101" s="6"/>
      <c r="O101" s="6"/>
      <c r="P101" s="6"/>
      <c r="Q101" s="6"/>
      <c r="R101" s="6"/>
      <c r="S101" s="6"/>
      <c r="T101" s="6"/>
      <c r="U101" s="7"/>
    </row>
    <row r="102" ht="13.75" customHeight="1">
      <c r="A102" s="5"/>
      <c r="B102" s="608">
        <v>83</v>
      </c>
      <c r="C102" s="609">
        <f>IF($B$20:$B$499&lt;&gt;"",DATE(YEAR($E$11),MONTH($E$11)+($B$20:$B$499)*12/$E$10,DAY($E$11)),"")</f>
        <v>47788</v>
      </c>
      <c r="D102" s="610">
        <f>IF($B$20:$B$499&lt;&gt;"",J101,"")</f>
        <v>2484845.14470124</v>
      </c>
      <c r="E102" s="610">
        <f>IF($B$20:$B$499&lt;&gt;"",$K$7,"")</f>
        <v>24114.8980934895</v>
      </c>
      <c r="F102" s="610">
        <f>IF(AND($B$20:$B$499&lt;&gt;"",$E$20:$E$499+$E$12&lt;$D$20:$D$499),$E$12,IF(AND($B$20:$B$499&lt;&gt;"",$D$20:$D$499-$E$20:$E$499&gt;0),$D$20:$D$499-$E$20:$E$499,IF($B$20:$B$499&lt;&gt;"",0,"")))</f>
        <v>0</v>
      </c>
      <c r="G102" s="610">
        <f>IF(AND($B$20:$B$499&lt;&gt;"",$E$20:$E$499+$F$20:$F$499&lt;$D$20:$D$499),$E$20:$E$499+$F$20:$F$499,IF($B$20:$B$499&lt;&gt;"",$D$20:$D$499,""))</f>
        <v>24114.8980934895</v>
      </c>
      <c r="H102" s="610">
        <f>IF($B$20:$B$499&lt;&gt;"",$G$20:$G$499-$I$20:$I$499,"")</f>
        <v>9619.968082732301</v>
      </c>
      <c r="I102" s="610">
        <f>IF($B$20:$B$499&lt;&gt;"",$D$20:$D$499*$E$8/$E$10,"")</f>
        <v>14494.9300107572</v>
      </c>
      <c r="J102" s="610">
        <f>IF(AND($B$20:$B$499&lt;&gt;"",$E$20:$E$499+$F$20:$F$499&lt;$D$20:$D$499),$D$20:$D$499-$H$20:$H$499,IF($B$20:$B$499&lt;&gt;"",0,""))</f>
        <v>2475225.17661851</v>
      </c>
      <c r="K102" s="610">
        <f>SUM($I$20:$I102)</f>
        <v>1366361.71837815</v>
      </c>
      <c r="L102" s="371"/>
      <c r="M102" s="371"/>
      <c r="N102" s="6"/>
      <c r="O102" s="6"/>
      <c r="P102" s="6"/>
      <c r="Q102" s="6"/>
      <c r="R102" s="6"/>
      <c r="S102" s="6"/>
      <c r="T102" s="6"/>
      <c r="U102" s="7"/>
    </row>
    <row r="103" ht="13.75" customHeight="1">
      <c r="A103" s="5"/>
      <c r="B103" s="608">
        <v>84</v>
      </c>
      <c r="C103" s="609">
        <f>IF($B$20:$B$499&lt;&gt;"",DATE(YEAR($E$11),MONTH($E$11)+($B$20:$B$499)*12/$E$10,DAY($E$11)),"")</f>
        <v>47818</v>
      </c>
      <c r="D103" s="610">
        <f>IF($B$20:$B$499&lt;&gt;"",J102,"")</f>
        <v>2475225.17661851</v>
      </c>
      <c r="E103" s="610">
        <f>IF($B$20:$B$499&lt;&gt;"",$K$7,"")</f>
        <v>24114.8980934895</v>
      </c>
      <c r="F103" s="610">
        <f>IF(AND($B$20:$B$499&lt;&gt;"",$E$20:$E$499+$E$12&lt;$D$20:$D$499),$E$12,IF(AND($B$20:$B$499&lt;&gt;"",$D$20:$D$499-$E$20:$E$499&gt;0),$D$20:$D$499-$E$20:$E$499,IF($B$20:$B$499&lt;&gt;"",0,"")))</f>
        <v>0</v>
      </c>
      <c r="G103" s="610">
        <f>IF(AND($B$20:$B$499&lt;&gt;"",$E$20:$E$499+$F$20:$F$499&lt;$D$20:$D$499),$E$20:$E$499+$F$20:$F$499,IF($B$20:$B$499&lt;&gt;"",$D$20:$D$499,""))</f>
        <v>24114.8980934895</v>
      </c>
      <c r="H103" s="610">
        <f>IF($B$20:$B$499&lt;&gt;"",$G$20:$G$499-$I$20:$I$499,"")</f>
        <v>9676.084563214899</v>
      </c>
      <c r="I103" s="610">
        <f>IF($B$20:$B$499&lt;&gt;"",$D$20:$D$499*$E$8/$E$10,"")</f>
        <v>14438.8135302746</v>
      </c>
      <c r="J103" s="610">
        <f>IF(AND($B$20:$B$499&lt;&gt;"",$E$20:$E$499+$F$20:$F$499&lt;$D$20:$D$499),$D$20:$D$499-$H$20:$H$499,IF($B$20:$B$499&lt;&gt;"",0,""))</f>
        <v>2465549.0920553</v>
      </c>
      <c r="K103" s="610">
        <f>SUM($I$20:$I103)</f>
        <v>1380800.53190842</v>
      </c>
      <c r="L103" s="371"/>
      <c r="M103" s="371"/>
      <c r="N103" s="6"/>
      <c r="O103" s="6"/>
      <c r="P103" s="6"/>
      <c r="Q103" s="6"/>
      <c r="R103" s="6"/>
      <c r="S103" s="6"/>
      <c r="T103" s="6"/>
      <c r="U103" s="7"/>
    </row>
    <row r="104" ht="13.75" customHeight="1">
      <c r="A104" s="5"/>
      <c r="B104" s="608">
        <v>85</v>
      </c>
      <c r="C104" s="609">
        <f>IF($B$20:$B$499&lt;&gt;"",DATE(YEAR($E$11),MONTH($E$11)+($B$20:$B$499)*12/$E$10,DAY($E$11)),"")</f>
        <v>47849</v>
      </c>
      <c r="D104" s="610">
        <f>IF($B$20:$B$499&lt;&gt;"",J103,"")</f>
        <v>2465549.0920553</v>
      </c>
      <c r="E104" s="610">
        <f>IF($B$20:$B$499&lt;&gt;"",$K$7,"")</f>
        <v>24114.8980934895</v>
      </c>
      <c r="F104" s="610">
        <f>IF(AND($B$20:$B$499&lt;&gt;"",$E$20:$E$499+$E$12&lt;$D$20:$D$499),$E$12,IF(AND($B$20:$B$499&lt;&gt;"",$D$20:$D$499-$E$20:$E$499&gt;0),$D$20:$D$499-$E$20:$E$499,IF($B$20:$B$499&lt;&gt;"",0,"")))</f>
        <v>0</v>
      </c>
      <c r="G104" s="610">
        <f>IF(AND($B$20:$B$499&lt;&gt;"",$E$20:$E$499+$F$20:$F$499&lt;$D$20:$D$499),$E$20:$E$499+$F$20:$F$499,IF($B$20:$B$499&lt;&gt;"",$D$20:$D$499,""))</f>
        <v>24114.8980934895</v>
      </c>
      <c r="H104" s="610">
        <f>IF($B$20:$B$499&lt;&gt;"",$G$20:$G$499-$I$20:$I$499,"")</f>
        <v>9732.5283898336</v>
      </c>
      <c r="I104" s="610">
        <f>IF($B$20:$B$499&lt;&gt;"",$D$20:$D$499*$E$8/$E$10,"")</f>
        <v>14382.3697036559</v>
      </c>
      <c r="J104" s="610">
        <f>IF(AND($B$20:$B$499&lt;&gt;"",$E$20:$E$499+$F$20:$F$499&lt;$D$20:$D$499),$D$20:$D$499-$H$20:$H$499,IF($B$20:$B$499&lt;&gt;"",0,""))</f>
        <v>2455816.56366547</v>
      </c>
      <c r="K104" s="610">
        <f>SUM($I$20:$I104)</f>
        <v>1395182.90161208</v>
      </c>
      <c r="L104" s="371"/>
      <c r="M104" s="371"/>
      <c r="N104" s="6"/>
      <c r="O104" s="6"/>
      <c r="P104" s="6"/>
      <c r="Q104" s="6"/>
      <c r="R104" s="6"/>
      <c r="S104" s="6"/>
      <c r="T104" s="6"/>
      <c r="U104" s="7"/>
    </row>
    <row r="105" ht="13.75" customHeight="1">
      <c r="A105" s="5"/>
      <c r="B105" s="608">
        <v>86</v>
      </c>
      <c r="C105" s="609">
        <f>IF($B$20:$B$499&lt;&gt;"",DATE(YEAR($E$11),MONTH($E$11)+($B$20:$B$499)*12/$E$10,DAY($E$11)),"")</f>
        <v>47880</v>
      </c>
      <c r="D105" s="610">
        <f>IF($B$20:$B$499&lt;&gt;"",J104,"")</f>
        <v>2455816.56366547</v>
      </c>
      <c r="E105" s="610">
        <f>IF($B$20:$B$499&lt;&gt;"",$K$7,"")</f>
        <v>24114.8980934895</v>
      </c>
      <c r="F105" s="610">
        <f>IF(AND($B$20:$B$499&lt;&gt;"",$E$20:$E$499+$E$12&lt;$D$20:$D$499),$E$12,IF(AND($B$20:$B$499&lt;&gt;"",$D$20:$D$499-$E$20:$E$499&gt;0),$D$20:$D$499-$E$20:$E$499,IF($B$20:$B$499&lt;&gt;"",0,"")))</f>
        <v>0</v>
      </c>
      <c r="G105" s="610">
        <f>IF(AND($B$20:$B$499&lt;&gt;"",$E$20:$E$499+$F$20:$F$499&lt;$D$20:$D$499),$E$20:$E$499+$F$20:$F$499,IF($B$20:$B$499&lt;&gt;"",$D$20:$D$499,""))</f>
        <v>24114.8980934895</v>
      </c>
      <c r="H105" s="610">
        <f>IF($B$20:$B$499&lt;&gt;"",$G$20:$G$499-$I$20:$I$499,"")</f>
        <v>9789.3014721076</v>
      </c>
      <c r="I105" s="610">
        <f>IF($B$20:$B$499&lt;&gt;"",$D$20:$D$499*$E$8/$E$10,"")</f>
        <v>14325.5966213819</v>
      </c>
      <c r="J105" s="610">
        <f>IF(AND($B$20:$B$499&lt;&gt;"",$E$20:$E$499+$F$20:$F$499&lt;$D$20:$D$499),$D$20:$D$499-$H$20:$H$499,IF($B$20:$B$499&lt;&gt;"",0,""))</f>
        <v>2446027.26219336</v>
      </c>
      <c r="K105" s="610">
        <f>SUM($I$20:$I105)</f>
        <v>1409508.49823346</v>
      </c>
      <c r="L105" s="371"/>
      <c r="M105" s="371"/>
      <c r="N105" s="6"/>
      <c r="O105" s="6"/>
      <c r="P105" s="6"/>
      <c r="Q105" s="6"/>
      <c r="R105" s="6"/>
      <c r="S105" s="6"/>
      <c r="T105" s="6"/>
      <c r="U105" s="7"/>
    </row>
    <row r="106" ht="13.75" customHeight="1">
      <c r="A106" s="5"/>
      <c r="B106" s="608">
        <v>87</v>
      </c>
      <c r="C106" s="609">
        <f>IF($B$20:$B$499&lt;&gt;"",DATE(YEAR($E$11),MONTH($E$11)+($B$20:$B$499)*12/$E$10,DAY($E$11)),"")</f>
        <v>47908</v>
      </c>
      <c r="D106" s="610">
        <f>IF($B$20:$B$499&lt;&gt;"",J105,"")</f>
        <v>2446027.26219336</v>
      </c>
      <c r="E106" s="610">
        <f>IF($B$20:$B$499&lt;&gt;"",$K$7,"")</f>
        <v>24114.8980934895</v>
      </c>
      <c r="F106" s="610">
        <f>IF(AND($B$20:$B$499&lt;&gt;"",$E$20:$E$499+$E$12&lt;$D$20:$D$499),$E$12,IF(AND($B$20:$B$499&lt;&gt;"",$D$20:$D$499-$E$20:$E$499&gt;0),$D$20:$D$499-$E$20:$E$499,IF($B$20:$B$499&lt;&gt;"",0,"")))</f>
        <v>0</v>
      </c>
      <c r="G106" s="610">
        <f>IF(AND($B$20:$B$499&lt;&gt;"",$E$20:$E$499+$F$20:$F$499&lt;$D$20:$D$499),$E$20:$E$499+$F$20:$F$499,IF($B$20:$B$499&lt;&gt;"",$D$20:$D$499,""))</f>
        <v>24114.8980934895</v>
      </c>
      <c r="H106" s="610">
        <f>IF($B$20:$B$499&lt;&gt;"",$G$20:$G$499-$I$20:$I$499,"")</f>
        <v>9846.4057306949</v>
      </c>
      <c r="I106" s="610">
        <f>IF($B$20:$B$499&lt;&gt;"",$D$20:$D$499*$E$8/$E$10,"")</f>
        <v>14268.4923627946</v>
      </c>
      <c r="J106" s="610">
        <f>IF(AND($B$20:$B$499&lt;&gt;"",$E$20:$E$499+$F$20:$F$499&lt;$D$20:$D$499),$D$20:$D$499-$H$20:$H$499,IF($B$20:$B$499&lt;&gt;"",0,""))</f>
        <v>2436180.85646267</v>
      </c>
      <c r="K106" s="610">
        <f>SUM($I$20:$I106)</f>
        <v>1423776.99059625</v>
      </c>
      <c r="L106" s="371"/>
      <c r="M106" s="371"/>
      <c r="N106" s="6"/>
      <c r="O106" s="6"/>
      <c r="P106" s="6"/>
      <c r="Q106" s="6"/>
      <c r="R106" s="6"/>
      <c r="S106" s="6"/>
      <c r="T106" s="6"/>
      <c r="U106" s="7"/>
    </row>
    <row r="107" ht="13.75" customHeight="1">
      <c r="A107" s="5"/>
      <c r="B107" s="608">
        <v>88</v>
      </c>
      <c r="C107" s="609">
        <f>IF($B$20:$B$499&lt;&gt;"",DATE(YEAR($E$11),MONTH($E$11)+($B$20:$B$499)*12/$E$10,DAY($E$11)),"")</f>
        <v>47939</v>
      </c>
      <c r="D107" s="610">
        <f>IF($B$20:$B$499&lt;&gt;"",J106,"")</f>
        <v>2436180.85646267</v>
      </c>
      <c r="E107" s="610">
        <f>IF($B$20:$B$499&lt;&gt;"",$K$7,"")</f>
        <v>24114.8980934895</v>
      </c>
      <c r="F107" s="610">
        <f>IF(AND($B$20:$B$499&lt;&gt;"",$E$20:$E$499+$E$12&lt;$D$20:$D$499),$E$12,IF(AND($B$20:$B$499&lt;&gt;"",$D$20:$D$499-$E$20:$E$499&gt;0),$D$20:$D$499-$E$20:$E$499,IF($B$20:$B$499&lt;&gt;"",0,"")))</f>
        <v>0</v>
      </c>
      <c r="G107" s="610">
        <f>IF(AND($B$20:$B$499&lt;&gt;"",$E$20:$E$499+$F$20:$F$499&lt;$D$20:$D$499),$E$20:$E$499+$F$20:$F$499,IF($B$20:$B$499&lt;&gt;"",$D$20:$D$499,""))</f>
        <v>24114.8980934895</v>
      </c>
      <c r="H107" s="610">
        <f>IF($B$20:$B$499&lt;&gt;"",$G$20:$G$499-$I$20:$I$499,"")</f>
        <v>9903.8430974573</v>
      </c>
      <c r="I107" s="610">
        <f>IF($B$20:$B$499&lt;&gt;"",$D$20:$D$499*$E$8/$E$10,"")</f>
        <v>14211.0549960322</v>
      </c>
      <c r="J107" s="610">
        <f>IF(AND($B$20:$B$499&lt;&gt;"",$E$20:$E$499+$F$20:$F$499&lt;$D$20:$D$499),$D$20:$D$499-$H$20:$H$499,IF($B$20:$B$499&lt;&gt;"",0,""))</f>
        <v>2426277.01336521</v>
      </c>
      <c r="K107" s="610">
        <f>SUM($I$20:$I107)</f>
        <v>1437988.04559229</v>
      </c>
      <c r="L107" s="371"/>
      <c r="M107" s="371"/>
      <c r="N107" s="6"/>
      <c r="O107" s="6"/>
      <c r="P107" s="6"/>
      <c r="Q107" s="6"/>
      <c r="R107" s="6"/>
      <c r="S107" s="6"/>
      <c r="T107" s="6"/>
      <c r="U107" s="7"/>
    </row>
    <row r="108" ht="13.75" customHeight="1">
      <c r="A108" s="5"/>
      <c r="B108" s="608">
        <v>89</v>
      </c>
      <c r="C108" s="609">
        <f>IF($B$20:$B$499&lt;&gt;"",DATE(YEAR($E$11),MONTH($E$11)+($B$20:$B$499)*12/$E$10,DAY($E$11)),"")</f>
        <v>47969</v>
      </c>
      <c r="D108" s="610">
        <f>IF($B$20:$B$499&lt;&gt;"",J107,"")</f>
        <v>2426277.01336521</v>
      </c>
      <c r="E108" s="610">
        <f>IF($B$20:$B$499&lt;&gt;"",$K$7,"")</f>
        <v>24114.8980934895</v>
      </c>
      <c r="F108" s="610">
        <f>IF(AND($B$20:$B$499&lt;&gt;"",$E$20:$E$499+$E$12&lt;$D$20:$D$499),$E$12,IF(AND($B$20:$B$499&lt;&gt;"",$D$20:$D$499-$E$20:$E$499&gt;0),$D$20:$D$499-$E$20:$E$499,IF($B$20:$B$499&lt;&gt;"",0,"")))</f>
        <v>0</v>
      </c>
      <c r="G108" s="610">
        <f>IF(AND($B$20:$B$499&lt;&gt;"",$E$20:$E$499+$F$20:$F$499&lt;$D$20:$D$499),$E$20:$E$499+$F$20:$F$499,IF($B$20:$B$499&lt;&gt;"",$D$20:$D$499,""))</f>
        <v>24114.8980934895</v>
      </c>
      <c r="H108" s="610">
        <f>IF($B$20:$B$499&lt;&gt;"",$G$20:$G$499-$I$20:$I$499,"")</f>
        <v>9961.6155155258</v>
      </c>
      <c r="I108" s="610">
        <f>IF($B$20:$B$499&lt;&gt;"",$D$20:$D$499*$E$8/$E$10,"")</f>
        <v>14153.2825779637</v>
      </c>
      <c r="J108" s="610">
        <f>IF(AND($B$20:$B$499&lt;&gt;"",$E$20:$E$499+$F$20:$F$499&lt;$D$20:$D$499),$D$20:$D$499-$H$20:$H$499,IF($B$20:$B$499&lt;&gt;"",0,""))</f>
        <v>2416315.39784968</v>
      </c>
      <c r="K108" s="610">
        <f>SUM($I$20:$I108)</f>
        <v>1452141.32817025</v>
      </c>
      <c r="L108" s="371"/>
      <c r="M108" s="371"/>
      <c r="N108" s="6"/>
      <c r="O108" s="6"/>
      <c r="P108" s="6"/>
      <c r="Q108" s="6"/>
      <c r="R108" s="6"/>
      <c r="S108" s="6"/>
      <c r="T108" s="6"/>
      <c r="U108" s="7"/>
    </row>
    <row r="109" ht="13.75" customHeight="1">
      <c r="A109" s="5"/>
      <c r="B109" s="608">
        <v>90</v>
      </c>
      <c r="C109" s="609">
        <f>IF($B$20:$B$499&lt;&gt;"",DATE(YEAR($E$11),MONTH($E$11)+($B$20:$B$499)*12/$E$10,DAY($E$11)),"")</f>
        <v>48000</v>
      </c>
      <c r="D109" s="610">
        <f>IF($B$20:$B$499&lt;&gt;"",J108,"")</f>
        <v>2416315.39784968</v>
      </c>
      <c r="E109" s="610">
        <f>IF($B$20:$B$499&lt;&gt;"",$K$7,"")</f>
        <v>24114.8980934895</v>
      </c>
      <c r="F109" s="610">
        <f>IF(AND($B$20:$B$499&lt;&gt;"",$E$20:$E$499+$E$12&lt;$D$20:$D$499),$E$12,IF(AND($B$20:$B$499&lt;&gt;"",$D$20:$D$499-$E$20:$E$499&gt;0),$D$20:$D$499-$E$20:$E$499,IF($B$20:$B$499&lt;&gt;"",0,"")))</f>
        <v>0</v>
      </c>
      <c r="G109" s="610">
        <f>IF(AND($B$20:$B$499&lt;&gt;"",$E$20:$E$499+$F$20:$F$499&lt;$D$20:$D$499),$E$20:$E$499+$F$20:$F$499,IF($B$20:$B$499&lt;&gt;"",$D$20:$D$499,""))</f>
        <v>24114.8980934895</v>
      </c>
      <c r="H109" s="610">
        <f>IF($B$20:$B$499&lt;&gt;"",$G$20:$G$499-$I$20:$I$499,"")</f>
        <v>10019.7249393664</v>
      </c>
      <c r="I109" s="610">
        <f>IF($B$20:$B$499&lt;&gt;"",$D$20:$D$499*$E$8/$E$10,"")</f>
        <v>14095.1731541231</v>
      </c>
      <c r="J109" s="610">
        <f>IF(AND($B$20:$B$499&lt;&gt;"",$E$20:$E$499+$F$20:$F$499&lt;$D$20:$D$499),$D$20:$D$499-$H$20:$H$499,IF($B$20:$B$499&lt;&gt;"",0,""))</f>
        <v>2406295.67291031</v>
      </c>
      <c r="K109" s="610">
        <f>SUM($I$20:$I109)</f>
        <v>1466236.50132437</v>
      </c>
      <c r="L109" s="371"/>
      <c r="M109" s="371"/>
      <c r="N109" s="6"/>
      <c r="O109" s="6"/>
      <c r="P109" s="6"/>
      <c r="Q109" s="6"/>
      <c r="R109" s="6"/>
      <c r="S109" s="6"/>
      <c r="T109" s="6"/>
      <c r="U109" s="7"/>
    </row>
    <row r="110" ht="13.75" customHeight="1">
      <c r="A110" s="5"/>
      <c r="B110" s="608">
        <v>91</v>
      </c>
      <c r="C110" s="609">
        <f>IF($B$20:$B$499&lt;&gt;"",DATE(YEAR($E$11),MONTH($E$11)+($B$20:$B$499)*12/$E$10,DAY($E$11)),"")</f>
        <v>48030</v>
      </c>
      <c r="D110" s="610">
        <f>IF($B$20:$B$499&lt;&gt;"",J109,"")</f>
        <v>2406295.67291031</v>
      </c>
      <c r="E110" s="610">
        <f>IF($B$20:$B$499&lt;&gt;"",$K$7,"")</f>
        <v>24114.8980934895</v>
      </c>
      <c r="F110" s="610">
        <f>IF(AND($B$20:$B$499&lt;&gt;"",$E$20:$E$499+$E$12&lt;$D$20:$D$499),$E$12,IF(AND($B$20:$B$499&lt;&gt;"",$D$20:$D$499-$E$20:$E$499&gt;0),$D$20:$D$499-$E$20:$E$499,IF($B$20:$B$499&lt;&gt;"",0,"")))</f>
        <v>0</v>
      </c>
      <c r="G110" s="610">
        <f>IF(AND($B$20:$B$499&lt;&gt;"",$E$20:$E$499+$F$20:$F$499&lt;$D$20:$D$499),$E$20:$E$499+$F$20:$F$499,IF($B$20:$B$499&lt;&gt;"",$D$20:$D$499,""))</f>
        <v>24114.8980934895</v>
      </c>
      <c r="H110" s="610">
        <f>IF($B$20:$B$499&lt;&gt;"",$G$20:$G$499-$I$20:$I$499,"")</f>
        <v>10078.173334846</v>
      </c>
      <c r="I110" s="610">
        <f>IF($B$20:$B$499&lt;&gt;"",$D$20:$D$499*$E$8/$E$10,"")</f>
        <v>14036.7247586435</v>
      </c>
      <c r="J110" s="610">
        <f>IF(AND($B$20:$B$499&lt;&gt;"",$E$20:$E$499+$F$20:$F$499&lt;$D$20:$D$499),$D$20:$D$499-$H$20:$H$499,IF($B$20:$B$499&lt;&gt;"",0,""))</f>
        <v>2396217.49957546</v>
      </c>
      <c r="K110" s="610">
        <f>SUM($I$20:$I110)</f>
        <v>1480273.22608302</v>
      </c>
      <c r="L110" s="371"/>
      <c r="M110" s="371"/>
      <c r="N110" s="6"/>
      <c r="O110" s="6"/>
      <c r="P110" s="6"/>
      <c r="Q110" s="6"/>
      <c r="R110" s="6"/>
      <c r="S110" s="6"/>
      <c r="T110" s="6"/>
      <c r="U110" s="7"/>
    </row>
    <row r="111" ht="13.75" customHeight="1">
      <c r="A111" s="5"/>
      <c r="B111" s="608">
        <v>92</v>
      </c>
      <c r="C111" s="609">
        <f>IF($B$20:$B$499&lt;&gt;"",DATE(YEAR($E$11),MONTH($E$11)+($B$20:$B$499)*12/$E$10,DAY($E$11)),"")</f>
        <v>48061</v>
      </c>
      <c r="D111" s="610">
        <f>IF($B$20:$B$499&lt;&gt;"",J110,"")</f>
        <v>2396217.49957546</v>
      </c>
      <c r="E111" s="610">
        <f>IF($B$20:$B$499&lt;&gt;"",$K$7,"")</f>
        <v>24114.8980934895</v>
      </c>
      <c r="F111" s="610">
        <f>IF(AND($B$20:$B$499&lt;&gt;"",$E$20:$E$499+$E$12&lt;$D$20:$D$499),$E$12,IF(AND($B$20:$B$499&lt;&gt;"",$D$20:$D$499-$E$20:$E$499&gt;0),$D$20:$D$499-$E$20:$E$499,IF($B$20:$B$499&lt;&gt;"",0,"")))</f>
        <v>0</v>
      </c>
      <c r="G111" s="610">
        <f>IF(AND($B$20:$B$499&lt;&gt;"",$E$20:$E$499+$F$20:$F$499&lt;$D$20:$D$499),$E$20:$E$499+$F$20:$F$499,IF($B$20:$B$499&lt;&gt;"",$D$20:$D$499,""))</f>
        <v>24114.8980934895</v>
      </c>
      <c r="H111" s="610">
        <f>IF($B$20:$B$499&lt;&gt;"",$G$20:$G$499-$I$20:$I$499,"")</f>
        <v>10136.9626792993</v>
      </c>
      <c r="I111" s="610">
        <f>IF($B$20:$B$499&lt;&gt;"",$D$20:$D$499*$E$8/$E$10,"")</f>
        <v>13977.9354141902</v>
      </c>
      <c r="J111" s="610">
        <f>IF(AND($B$20:$B$499&lt;&gt;"",$E$20:$E$499+$F$20:$F$499&lt;$D$20:$D$499),$D$20:$D$499-$H$20:$H$499,IF($B$20:$B$499&lt;&gt;"",0,""))</f>
        <v>2386080.53689616</v>
      </c>
      <c r="K111" s="610">
        <f>SUM($I$20:$I111)</f>
        <v>1494251.16149721</v>
      </c>
      <c r="L111" s="371"/>
      <c r="M111" s="371"/>
      <c r="N111" s="6"/>
      <c r="O111" s="6"/>
      <c r="P111" s="6"/>
      <c r="Q111" s="6"/>
      <c r="R111" s="6"/>
      <c r="S111" s="6"/>
      <c r="T111" s="6"/>
      <c r="U111" s="7"/>
    </row>
    <row r="112" ht="13.75" customHeight="1">
      <c r="A112" s="5"/>
      <c r="B112" s="608">
        <v>93</v>
      </c>
      <c r="C112" s="609">
        <f>IF($B$20:$B$499&lt;&gt;"",DATE(YEAR($E$11),MONTH($E$11)+($B$20:$B$499)*12/$E$10,DAY($E$11)),"")</f>
        <v>48092</v>
      </c>
      <c r="D112" s="610">
        <f>IF($B$20:$B$499&lt;&gt;"",J111,"")</f>
        <v>2386080.53689616</v>
      </c>
      <c r="E112" s="610">
        <f>IF($B$20:$B$499&lt;&gt;"",$K$7,"")</f>
        <v>24114.8980934895</v>
      </c>
      <c r="F112" s="610">
        <f>IF(AND($B$20:$B$499&lt;&gt;"",$E$20:$E$499+$E$12&lt;$D$20:$D$499),$E$12,IF(AND($B$20:$B$499&lt;&gt;"",$D$20:$D$499-$E$20:$E$499&gt;0),$D$20:$D$499-$E$20:$E$499,IF($B$20:$B$499&lt;&gt;"",0,"")))</f>
        <v>0</v>
      </c>
      <c r="G112" s="610">
        <f>IF(AND($B$20:$B$499&lt;&gt;"",$E$20:$E$499+$F$20:$F$499&lt;$D$20:$D$499),$E$20:$E$499+$F$20:$F$499,IF($B$20:$B$499&lt;&gt;"",$D$20:$D$499,""))</f>
        <v>24114.8980934895</v>
      </c>
      <c r="H112" s="610">
        <f>IF($B$20:$B$499&lt;&gt;"",$G$20:$G$499-$I$20:$I$499,"")</f>
        <v>10196.0949615952</v>
      </c>
      <c r="I112" s="610">
        <f>IF($B$20:$B$499&lt;&gt;"",$D$20:$D$499*$E$8/$E$10,"")</f>
        <v>13918.8031318943</v>
      </c>
      <c r="J112" s="610">
        <f>IF(AND($B$20:$B$499&lt;&gt;"",$E$20:$E$499+$F$20:$F$499&lt;$D$20:$D$499),$D$20:$D$499-$H$20:$H$499,IF($B$20:$B$499&lt;&gt;"",0,""))</f>
        <v>2375884.44193456</v>
      </c>
      <c r="K112" s="610">
        <f>SUM($I$20:$I112)</f>
        <v>1508169.9646291</v>
      </c>
      <c r="L112" s="371"/>
      <c r="M112" s="371"/>
      <c r="N112" s="6"/>
      <c r="O112" s="6"/>
      <c r="P112" s="6"/>
      <c r="Q112" s="6"/>
      <c r="R112" s="6"/>
      <c r="S112" s="6"/>
      <c r="T112" s="6"/>
      <c r="U112" s="7"/>
    </row>
    <row r="113" ht="13.75" customHeight="1">
      <c r="A113" s="5"/>
      <c r="B113" s="608">
        <v>94</v>
      </c>
      <c r="C113" s="609">
        <f>IF($B$20:$B$499&lt;&gt;"",DATE(YEAR($E$11),MONTH($E$11)+($B$20:$B$499)*12/$E$10,DAY($E$11)),"")</f>
        <v>48122</v>
      </c>
      <c r="D113" s="610">
        <f>IF($B$20:$B$499&lt;&gt;"",J112,"")</f>
        <v>2375884.44193456</v>
      </c>
      <c r="E113" s="610">
        <f>IF($B$20:$B$499&lt;&gt;"",$K$7,"")</f>
        <v>24114.8980934895</v>
      </c>
      <c r="F113" s="610">
        <f>IF(AND($B$20:$B$499&lt;&gt;"",$E$20:$E$499+$E$12&lt;$D$20:$D$499),$E$12,IF(AND($B$20:$B$499&lt;&gt;"",$D$20:$D$499-$E$20:$E$499&gt;0),$D$20:$D$499-$E$20:$E$499,IF($B$20:$B$499&lt;&gt;"",0,"")))</f>
        <v>0</v>
      </c>
      <c r="G113" s="610">
        <f>IF(AND($B$20:$B$499&lt;&gt;"",$E$20:$E$499+$F$20:$F$499&lt;$D$20:$D$499),$E$20:$E$499+$F$20:$F$499,IF($B$20:$B$499&lt;&gt;"",$D$20:$D$499,""))</f>
        <v>24114.8980934895</v>
      </c>
      <c r="H113" s="610">
        <f>IF($B$20:$B$499&lt;&gt;"",$G$20:$G$499-$I$20:$I$499,"")</f>
        <v>10255.5721822046</v>
      </c>
      <c r="I113" s="610">
        <f>IF($B$20:$B$499&lt;&gt;"",$D$20:$D$499*$E$8/$E$10,"")</f>
        <v>13859.3259112849</v>
      </c>
      <c r="J113" s="610">
        <f>IF(AND($B$20:$B$499&lt;&gt;"",$E$20:$E$499+$F$20:$F$499&lt;$D$20:$D$499),$D$20:$D$499-$H$20:$H$499,IF($B$20:$B$499&lt;&gt;"",0,""))</f>
        <v>2365628.86975236</v>
      </c>
      <c r="K113" s="610">
        <f>SUM($I$20:$I113)</f>
        <v>1522029.29054039</v>
      </c>
      <c r="L113" s="371"/>
      <c r="M113" s="371"/>
      <c r="N113" s="6"/>
      <c r="O113" s="6"/>
      <c r="P113" s="6"/>
      <c r="Q113" s="6"/>
      <c r="R113" s="6"/>
      <c r="S113" s="6"/>
      <c r="T113" s="6"/>
      <c r="U113" s="7"/>
    </row>
    <row r="114" ht="13.75" customHeight="1">
      <c r="A114" s="5"/>
      <c r="B114" s="608">
        <v>95</v>
      </c>
      <c r="C114" s="609">
        <f>IF($B$20:$B$499&lt;&gt;"",DATE(YEAR($E$11),MONTH($E$11)+($B$20:$B$499)*12/$E$10,DAY($E$11)),"")</f>
        <v>48153</v>
      </c>
      <c r="D114" s="610">
        <f>IF($B$20:$B$499&lt;&gt;"",J113,"")</f>
        <v>2365628.86975236</v>
      </c>
      <c r="E114" s="610">
        <f>IF($B$20:$B$499&lt;&gt;"",$K$7,"")</f>
        <v>24114.8980934895</v>
      </c>
      <c r="F114" s="610">
        <f>IF(AND($B$20:$B$499&lt;&gt;"",$E$20:$E$499+$E$12&lt;$D$20:$D$499),$E$12,IF(AND($B$20:$B$499&lt;&gt;"",$D$20:$D$499-$E$20:$E$499&gt;0),$D$20:$D$499-$E$20:$E$499,IF($B$20:$B$499&lt;&gt;"",0,"")))</f>
        <v>0</v>
      </c>
      <c r="G114" s="610">
        <f>IF(AND($B$20:$B$499&lt;&gt;"",$E$20:$E$499+$F$20:$F$499&lt;$D$20:$D$499),$E$20:$E$499+$F$20:$F$499,IF($B$20:$B$499&lt;&gt;"",$D$20:$D$499,""))</f>
        <v>24114.8980934895</v>
      </c>
      <c r="H114" s="610">
        <f>IF($B$20:$B$499&lt;&gt;"",$G$20:$G$499-$I$20:$I$499,"")</f>
        <v>10315.3963532674</v>
      </c>
      <c r="I114" s="610">
        <f>IF($B$20:$B$499&lt;&gt;"",$D$20:$D$499*$E$8/$E$10,"")</f>
        <v>13799.5017402221</v>
      </c>
      <c r="J114" s="610">
        <f>IF(AND($B$20:$B$499&lt;&gt;"",$E$20:$E$499+$F$20:$F$499&lt;$D$20:$D$499),$D$20:$D$499-$H$20:$H$499,IF($B$20:$B$499&lt;&gt;"",0,""))</f>
        <v>2355313.47339909</v>
      </c>
      <c r="K114" s="610">
        <f>SUM($I$20:$I114)</f>
        <v>1535828.79228061</v>
      </c>
      <c r="L114" s="371"/>
      <c r="M114" s="371"/>
      <c r="N114" s="6"/>
      <c r="O114" s="6"/>
      <c r="P114" s="6"/>
      <c r="Q114" s="6"/>
      <c r="R114" s="6"/>
      <c r="S114" s="6"/>
      <c r="T114" s="6"/>
      <c r="U114" s="7"/>
    </row>
    <row r="115" ht="13.75" customHeight="1">
      <c r="A115" s="5"/>
      <c r="B115" s="608">
        <v>96</v>
      </c>
      <c r="C115" s="609">
        <f>IF($B$20:$B$499&lt;&gt;"",DATE(YEAR($E$11),MONTH($E$11)+($B$20:$B$499)*12/$E$10,DAY($E$11)),"")</f>
        <v>48183</v>
      </c>
      <c r="D115" s="610">
        <f>IF($B$20:$B$499&lt;&gt;"",J114,"")</f>
        <v>2355313.47339909</v>
      </c>
      <c r="E115" s="610">
        <f>IF($B$20:$B$499&lt;&gt;"",$K$7,"")</f>
        <v>24114.8980934895</v>
      </c>
      <c r="F115" s="610">
        <f>IF(AND($B$20:$B$499&lt;&gt;"",$E$20:$E$499+$E$12&lt;$D$20:$D$499),$E$12,IF(AND($B$20:$B$499&lt;&gt;"",$D$20:$D$499-$E$20:$E$499&gt;0),$D$20:$D$499-$E$20:$E$499,IF($B$20:$B$499&lt;&gt;"",0,"")))</f>
        <v>0</v>
      </c>
      <c r="G115" s="610">
        <f>IF(AND($B$20:$B$499&lt;&gt;"",$E$20:$E$499+$F$20:$F$499&lt;$D$20:$D$499),$E$20:$E$499+$F$20:$F$499,IF($B$20:$B$499&lt;&gt;"",$D$20:$D$499,""))</f>
        <v>24114.8980934895</v>
      </c>
      <c r="H115" s="610">
        <f>IF($B$20:$B$499&lt;&gt;"",$G$20:$G$499-$I$20:$I$499,"")</f>
        <v>10375.5694986615</v>
      </c>
      <c r="I115" s="610">
        <f>IF($B$20:$B$499&lt;&gt;"",$D$20:$D$499*$E$8/$E$10,"")</f>
        <v>13739.328594828</v>
      </c>
      <c r="J115" s="610">
        <f>IF(AND($B$20:$B$499&lt;&gt;"",$E$20:$E$499+$F$20:$F$499&lt;$D$20:$D$499),$D$20:$D$499-$H$20:$H$499,IF($B$20:$B$499&lt;&gt;"",0,""))</f>
        <v>2344937.90390043</v>
      </c>
      <c r="K115" s="610">
        <f>SUM($I$20:$I115)</f>
        <v>1549568.12087544</v>
      </c>
      <c r="L115" s="371"/>
      <c r="M115" s="371"/>
      <c r="N115" s="6"/>
      <c r="O115" s="6"/>
      <c r="P115" s="6"/>
      <c r="Q115" s="6"/>
      <c r="R115" s="6"/>
      <c r="S115" s="6"/>
      <c r="T115" s="6"/>
      <c r="U115" s="7"/>
    </row>
    <row r="116" ht="13.75" customHeight="1">
      <c r="A116" s="5"/>
      <c r="B116" s="608">
        <v>97</v>
      </c>
      <c r="C116" s="609">
        <f>IF($B$20:$B$499&lt;&gt;"",DATE(YEAR($E$11),MONTH($E$11)+($B$20:$B$499)*12/$E$10,DAY($E$11)),"")</f>
        <v>48214</v>
      </c>
      <c r="D116" s="610">
        <f>IF($B$20:$B$499&lt;&gt;"",J115,"")</f>
        <v>2344937.90390043</v>
      </c>
      <c r="E116" s="610">
        <f>IF($B$20:$B$499&lt;&gt;"",$K$7,"")</f>
        <v>24114.8980934895</v>
      </c>
      <c r="F116" s="610">
        <f>IF(AND($B$20:$B$499&lt;&gt;"",$E$20:$E$499+$E$12&lt;$D$20:$D$499),$E$12,IF(AND($B$20:$B$499&lt;&gt;"",$D$20:$D$499-$E$20:$E$499&gt;0),$D$20:$D$499-$E$20:$E$499,IF($B$20:$B$499&lt;&gt;"",0,"")))</f>
        <v>0</v>
      </c>
      <c r="G116" s="610">
        <f>IF(AND($B$20:$B$499&lt;&gt;"",$E$20:$E$499+$F$20:$F$499&lt;$D$20:$D$499),$E$20:$E$499+$F$20:$F$499,IF($B$20:$B$499&lt;&gt;"",$D$20:$D$499,""))</f>
        <v>24114.8980934895</v>
      </c>
      <c r="H116" s="610">
        <f>IF($B$20:$B$499&lt;&gt;"",$G$20:$G$499-$I$20:$I$499,"")</f>
        <v>10436.0936540703</v>
      </c>
      <c r="I116" s="610">
        <f>IF($B$20:$B$499&lt;&gt;"",$D$20:$D$499*$E$8/$E$10,"")</f>
        <v>13678.8044394192</v>
      </c>
      <c r="J116" s="610">
        <f>IF(AND($B$20:$B$499&lt;&gt;"",$E$20:$E$499+$F$20:$F$499&lt;$D$20:$D$499),$D$20:$D$499-$H$20:$H$499,IF($B$20:$B$499&lt;&gt;"",0,""))</f>
        <v>2334501.81024636</v>
      </c>
      <c r="K116" s="610">
        <f>SUM($I$20:$I116)</f>
        <v>1563246.92531485</v>
      </c>
      <c r="L116" s="371"/>
      <c r="M116" s="371"/>
      <c r="N116" s="6"/>
      <c r="O116" s="6"/>
      <c r="P116" s="6"/>
      <c r="Q116" s="6"/>
      <c r="R116" s="6"/>
      <c r="S116" s="6"/>
      <c r="T116" s="6"/>
      <c r="U116" s="7"/>
    </row>
    <row r="117" ht="13.75" customHeight="1">
      <c r="A117" s="5"/>
      <c r="B117" s="608">
        <v>98</v>
      </c>
      <c r="C117" s="609">
        <f>IF($B$20:$B$499&lt;&gt;"",DATE(YEAR($E$11),MONTH($E$11)+($B$20:$B$499)*12/$E$10,DAY($E$11)),"")</f>
        <v>48245</v>
      </c>
      <c r="D117" s="610">
        <f>IF($B$20:$B$499&lt;&gt;"",J116,"")</f>
        <v>2334501.81024636</v>
      </c>
      <c r="E117" s="610">
        <f>IF($B$20:$B$499&lt;&gt;"",$K$7,"")</f>
        <v>24114.8980934895</v>
      </c>
      <c r="F117" s="610">
        <f>IF(AND($B$20:$B$499&lt;&gt;"",$E$20:$E$499+$E$12&lt;$D$20:$D$499),$E$12,IF(AND($B$20:$B$499&lt;&gt;"",$D$20:$D$499-$E$20:$E$499&gt;0),$D$20:$D$499-$E$20:$E$499,IF($B$20:$B$499&lt;&gt;"",0,"")))</f>
        <v>0</v>
      </c>
      <c r="G117" s="610">
        <f>IF(AND($B$20:$B$499&lt;&gt;"",$E$20:$E$499+$F$20:$F$499&lt;$D$20:$D$499),$E$20:$E$499+$F$20:$F$499,IF($B$20:$B$499&lt;&gt;"",$D$20:$D$499,""))</f>
        <v>24114.8980934895</v>
      </c>
      <c r="H117" s="610">
        <f>IF($B$20:$B$499&lt;&gt;"",$G$20:$G$499-$I$20:$I$499,"")</f>
        <v>10496.9708670524</v>
      </c>
      <c r="I117" s="610">
        <f>IF($B$20:$B$499&lt;&gt;"",$D$20:$D$499*$E$8/$E$10,"")</f>
        <v>13617.9272264371</v>
      </c>
      <c r="J117" s="610">
        <f>IF(AND($B$20:$B$499&lt;&gt;"",$E$20:$E$499+$F$20:$F$499&lt;$D$20:$D$499),$D$20:$D$499-$H$20:$H$499,IF($B$20:$B$499&lt;&gt;"",0,""))</f>
        <v>2324004.83937931</v>
      </c>
      <c r="K117" s="610">
        <f>SUM($I$20:$I117)</f>
        <v>1576864.85254129</v>
      </c>
      <c r="L117" s="371"/>
      <c r="M117" s="371"/>
      <c r="N117" s="6"/>
      <c r="O117" s="6"/>
      <c r="P117" s="6"/>
      <c r="Q117" s="6"/>
      <c r="R117" s="6"/>
      <c r="S117" s="6"/>
      <c r="T117" s="6"/>
      <c r="U117" s="7"/>
    </row>
    <row r="118" ht="13.75" customHeight="1">
      <c r="A118" s="5"/>
      <c r="B118" s="608">
        <v>99</v>
      </c>
      <c r="C118" s="609">
        <f>IF($B$20:$B$499&lt;&gt;"",DATE(YEAR($E$11),MONTH($E$11)+($B$20:$B$499)*12/$E$10,DAY($E$11)),"")</f>
        <v>48274</v>
      </c>
      <c r="D118" s="610">
        <f>IF($B$20:$B$499&lt;&gt;"",J117,"")</f>
        <v>2324004.83937931</v>
      </c>
      <c r="E118" s="610">
        <f>IF($B$20:$B$499&lt;&gt;"",$K$7,"")</f>
        <v>24114.8980934895</v>
      </c>
      <c r="F118" s="610">
        <f>IF(AND($B$20:$B$499&lt;&gt;"",$E$20:$E$499+$E$12&lt;$D$20:$D$499),$E$12,IF(AND($B$20:$B$499&lt;&gt;"",$D$20:$D$499-$E$20:$E$499&gt;0),$D$20:$D$499-$E$20:$E$499,IF($B$20:$B$499&lt;&gt;"",0,"")))</f>
        <v>0</v>
      </c>
      <c r="G118" s="610">
        <f>IF(AND($B$20:$B$499&lt;&gt;"",$E$20:$E$499+$F$20:$F$499&lt;$D$20:$D$499),$E$20:$E$499+$F$20:$F$499,IF($B$20:$B$499&lt;&gt;"",$D$20:$D$499,""))</f>
        <v>24114.8980934895</v>
      </c>
      <c r="H118" s="610">
        <f>IF($B$20:$B$499&lt;&gt;"",$G$20:$G$499-$I$20:$I$499,"")</f>
        <v>10558.2031971102</v>
      </c>
      <c r="I118" s="610">
        <f>IF($B$20:$B$499&lt;&gt;"",$D$20:$D$499*$E$8/$E$10,"")</f>
        <v>13556.6948963793</v>
      </c>
      <c r="J118" s="610">
        <f>IF(AND($B$20:$B$499&lt;&gt;"",$E$20:$E$499+$F$20:$F$499&lt;$D$20:$D$499),$D$20:$D$499-$H$20:$H$499,IF($B$20:$B$499&lt;&gt;"",0,""))</f>
        <v>2313446.6361822</v>
      </c>
      <c r="K118" s="610">
        <f>SUM($I$20:$I118)</f>
        <v>1590421.54743767</v>
      </c>
      <c r="L118" s="371"/>
      <c r="M118" s="371"/>
      <c r="N118" s="6"/>
      <c r="O118" s="6"/>
      <c r="P118" s="6"/>
      <c r="Q118" s="6"/>
      <c r="R118" s="6"/>
      <c r="S118" s="6"/>
      <c r="T118" s="6"/>
      <c r="U118" s="7"/>
    </row>
    <row r="119" ht="13.75" customHeight="1">
      <c r="A119" s="5"/>
      <c r="B119" s="608">
        <v>100</v>
      </c>
      <c r="C119" s="609">
        <f>IF($B$20:$B$499&lt;&gt;"",DATE(YEAR($E$11),MONTH($E$11)+($B$20:$B$499)*12/$E$10,DAY($E$11)),"")</f>
        <v>48305</v>
      </c>
      <c r="D119" s="610">
        <f>IF($B$20:$B$499&lt;&gt;"",J118,"")</f>
        <v>2313446.6361822</v>
      </c>
      <c r="E119" s="610">
        <f>IF($B$20:$B$499&lt;&gt;"",$K$7,"")</f>
        <v>24114.8980934895</v>
      </c>
      <c r="F119" s="610">
        <f>IF(AND($B$20:$B$499&lt;&gt;"",$E$20:$E$499+$E$12&lt;$D$20:$D$499),$E$12,IF(AND($B$20:$B$499&lt;&gt;"",$D$20:$D$499-$E$20:$E$499&gt;0),$D$20:$D$499-$E$20:$E$499,IF($B$20:$B$499&lt;&gt;"",0,"")))</f>
        <v>0</v>
      </c>
      <c r="G119" s="610">
        <f>IF(AND($B$20:$B$499&lt;&gt;"",$E$20:$E$499+$F$20:$F$499&lt;$D$20:$D$499),$E$20:$E$499+$F$20:$F$499,IF($B$20:$B$499&lt;&gt;"",$D$20:$D$499,""))</f>
        <v>24114.8980934895</v>
      </c>
      <c r="H119" s="610">
        <f>IF($B$20:$B$499&lt;&gt;"",$G$20:$G$499-$I$20:$I$499,"")</f>
        <v>10619.79271576</v>
      </c>
      <c r="I119" s="610">
        <f>IF($B$20:$B$499&lt;&gt;"",$D$20:$D$499*$E$8/$E$10,"")</f>
        <v>13495.1053777295</v>
      </c>
      <c r="J119" s="610">
        <f>IF(AND($B$20:$B$499&lt;&gt;"",$E$20:$E$499+$F$20:$F$499&lt;$D$20:$D$499),$D$20:$D$499-$H$20:$H$499,IF($B$20:$B$499&lt;&gt;"",0,""))</f>
        <v>2302826.84346644</v>
      </c>
      <c r="K119" s="610">
        <f>SUM($I$20:$I119)</f>
        <v>1603916.6528154</v>
      </c>
      <c r="L119" s="371"/>
      <c r="M119" s="371"/>
      <c r="N119" s="6"/>
      <c r="O119" s="6"/>
      <c r="P119" s="6"/>
      <c r="Q119" s="6"/>
      <c r="R119" s="6"/>
      <c r="S119" s="6"/>
      <c r="T119" s="6"/>
      <c r="U119" s="7"/>
    </row>
    <row r="120" ht="13.75" customHeight="1">
      <c r="A120" s="5"/>
      <c r="B120" s="608">
        <v>101</v>
      </c>
      <c r="C120" s="609">
        <f>IF($B$20:$B$499&lt;&gt;"",DATE(YEAR($E$11),MONTH($E$11)+($B$20:$B$499)*12/$E$10,DAY($E$11)),"")</f>
        <v>48335</v>
      </c>
      <c r="D120" s="610">
        <f>IF($B$20:$B$499&lt;&gt;"",J119,"")</f>
        <v>2302826.84346644</v>
      </c>
      <c r="E120" s="610">
        <f>IF($B$20:$B$499&lt;&gt;"",$K$7,"")</f>
        <v>24114.8980934895</v>
      </c>
      <c r="F120" s="610">
        <f>IF(AND($B$20:$B$499&lt;&gt;"",$E$20:$E$499+$E$12&lt;$D$20:$D$499),$E$12,IF(AND($B$20:$B$499&lt;&gt;"",$D$20:$D$499-$E$20:$E$499&gt;0),$D$20:$D$499-$E$20:$E$499,IF($B$20:$B$499&lt;&gt;"",0,"")))</f>
        <v>0</v>
      </c>
      <c r="G120" s="610">
        <f>IF(AND($B$20:$B$499&lt;&gt;"",$E$20:$E$499+$F$20:$F$499&lt;$D$20:$D$499),$E$20:$E$499+$F$20:$F$499,IF($B$20:$B$499&lt;&gt;"",$D$20:$D$499,""))</f>
        <v>24114.8980934895</v>
      </c>
      <c r="H120" s="610">
        <f>IF($B$20:$B$499&lt;&gt;"",$G$20:$G$499-$I$20:$I$499,"")</f>
        <v>10681.7415066019</v>
      </c>
      <c r="I120" s="610">
        <f>IF($B$20:$B$499&lt;&gt;"",$D$20:$D$499*$E$8/$E$10,"")</f>
        <v>13433.1565868876</v>
      </c>
      <c r="J120" s="610">
        <f>IF(AND($B$20:$B$499&lt;&gt;"",$E$20:$E$499+$F$20:$F$499&lt;$D$20:$D$499),$D$20:$D$499-$H$20:$H$499,IF($B$20:$B$499&lt;&gt;"",0,""))</f>
        <v>2292145.10195984</v>
      </c>
      <c r="K120" s="610">
        <f>SUM($I$20:$I120)</f>
        <v>1617349.80940229</v>
      </c>
      <c r="L120" s="371"/>
      <c r="M120" s="371"/>
      <c r="N120" s="6"/>
      <c r="O120" s="6"/>
      <c r="P120" s="6"/>
      <c r="Q120" s="6"/>
      <c r="R120" s="6"/>
      <c r="S120" s="6"/>
      <c r="T120" s="6"/>
      <c r="U120" s="7"/>
    </row>
    <row r="121" ht="13.75" customHeight="1">
      <c r="A121" s="5"/>
      <c r="B121" s="608">
        <v>102</v>
      </c>
      <c r="C121" s="609">
        <f>IF($B$20:$B$499&lt;&gt;"",DATE(YEAR($E$11),MONTH($E$11)+($B$20:$B$499)*12/$E$10,DAY($E$11)),"")</f>
        <v>48366</v>
      </c>
      <c r="D121" s="610">
        <f>IF($B$20:$B$499&lt;&gt;"",J120,"")</f>
        <v>2292145.10195984</v>
      </c>
      <c r="E121" s="610">
        <f>IF($B$20:$B$499&lt;&gt;"",$K$7,"")</f>
        <v>24114.8980934895</v>
      </c>
      <c r="F121" s="610">
        <f>IF(AND($B$20:$B$499&lt;&gt;"",$E$20:$E$499+$E$12&lt;$D$20:$D$499),$E$12,IF(AND($B$20:$B$499&lt;&gt;"",$D$20:$D$499-$E$20:$E$499&gt;0),$D$20:$D$499-$E$20:$E$499,IF($B$20:$B$499&lt;&gt;"",0,"")))</f>
        <v>0</v>
      </c>
      <c r="G121" s="610">
        <f>IF(AND($B$20:$B$499&lt;&gt;"",$E$20:$E$499+$F$20:$F$499&lt;$D$20:$D$499),$E$20:$E$499+$F$20:$F$499,IF($B$20:$B$499&lt;&gt;"",$D$20:$D$499,""))</f>
        <v>24114.8980934895</v>
      </c>
      <c r="H121" s="610">
        <f>IF($B$20:$B$499&lt;&gt;"",$G$20:$G$499-$I$20:$I$499,"")</f>
        <v>10744.0516653904</v>
      </c>
      <c r="I121" s="610">
        <f>IF($B$20:$B$499&lt;&gt;"",$D$20:$D$499*$E$8/$E$10,"")</f>
        <v>13370.8464280991</v>
      </c>
      <c r="J121" s="610">
        <f>IF(AND($B$20:$B$499&lt;&gt;"",$E$20:$E$499+$F$20:$F$499&lt;$D$20:$D$499),$D$20:$D$499-$H$20:$H$499,IF($B$20:$B$499&lt;&gt;"",0,""))</f>
        <v>2281401.05029445</v>
      </c>
      <c r="K121" s="610">
        <f>SUM($I$20:$I121)</f>
        <v>1630720.65583039</v>
      </c>
      <c r="L121" s="371"/>
      <c r="M121" s="371"/>
      <c r="N121" s="6"/>
      <c r="O121" s="6"/>
      <c r="P121" s="6"/>
      <c r="Q121" s="6"/>
      <c r="R121" s="6"/>
      <c r="S121" s="6"/>
      <c r="T121" s="6"/>
      <c r="U121" s="7"/>
    </row>
    <row r="122" ht="13.75" customHeight="1">
      <c r="A122" s="5"/>
      <c r="B122" s="608">
        <v>103</v>
      </c>
      <c r="C122" s="609">
        <f>IF($B$20:$B$499&lt;&gt;"",DATE(YEAR($E$11),MONTH($E$11)+($B$20:$B$499)*12/$E$10,DAY($E$11)),"")</f>
        <v>48396</v>
      </c>
      <c r="D122" s="610">
        <f>IF($B$20:$B$499&lt;&gt;"",J121,"")</f>
        <v>2281401.05029445</v>
      </c>
      <c r="E122" s="610">
        <f>IF($B$20:$B$499&lt;&gt;"",$K$7,"")</f>
        <v>24114.8980934895</v>
      </c>
      <c r="F122" s="610">
        <f>IF(AND($B$20:$B$499&lt;&gt;"",$E$20:$E$499+$E$12&lt;$D$20:$D$499),$E$12,IF(AND($B$20:$B$499&lt;&gt;"",$D$20:$D$499-$E$20:$E$499&gt;0),$D$20:$D$499-$E$20:$E$499,IF($B$20:$B$499&lt;&gt;"",0,"")))</f>
        <v>0</v>
      </c>
      <c r="G122" s="610">
        <f>IF(AND($B$20:$B$499&lt;&gt;"",$E$20:$E$499+$F$20:$F$499&lt;$D$20:$D$499),$E$20:$E$499+$F$20:$F$499,IF($B$20:$B$499&lt;&gt;"",$D$20:$D$499,""))</f>
        <v>24114.8980934895</v>
      </c>
      <c r="H122" s="610">
        <f>IF($B$20:$B$499&lt;&gt;"",$G$20:$G$499-$I$20:$I$499,"")</f>
        <v>10806.7253001052</v>
      </c>
      <c r="I122" s="610">
        <f>IF($B$20:$B$499&lt;&gt;"",$D$20:$D$499*$E$8/$E$10,"")</f>
        <v>13308.1727933843</v>
      </c>
      <c r="J122" s="610">
        <f>IF(AND($B$20:$B$499&lt;&gt;"",$E$20:$E$499+$F$20:$F$499&lt;$D$20:$D$499),$D$20:$D$499-$H$20:$H$499,IF($B$20:$B$499&lt;&gt;"",0,""))</f>
        <v>2270594.32499434</v>
      </c>
      <c r="K122" s="610">
        <f>SUM($I$20:$I122)</f>
        <v>1644028.82862377</v>
      </c>
      <c r="L122" s="371"/>
      <c r="M122" s="371"/>
      <c r="N122" s="6"/>
      <c r="O122" s="6"/>
      <c r="P122" s="6"/>
      <c r="Q122" s="6"/>
      <c r="R122" s="6"/>
      <c r="S122" s="6"/>
      <c r="T122" s="6"/>
      <c r="U122" s="7"/>
    </row>
    <row r="123" ht="13.75" customHeight="1">
      <c r="A123" s="5"/>
      <c r="B123" s="608">
        <v>104</v>
      </c>
      <c r="C123" s="609">
        <f>IF($B$20:$B$499&lt;&gt;"",DATE(YEAR($E$11),MONTH($E$11)+($B$20:$B$499)*12/$E$10,DAY($E$11)),"")</f>
        <v>48427</v>
      </c>
      <c r="D123" s="610">
        <f>IF($B$20:$B$499&lt;&gt;"",J122,"")</f>
        <v>2270594.32499434</v>
      </c>
      <c r="E123" s="610">
        <f>IF($B$20:$B$499&lt;&gt;"",$K$7,"")</f>
        <v>24114.8980934895</v>
      </c>
      <c r="F123" s="610">
        <f>IF(AND($B$20:$B$499&lt;&gt;"",$E$20:$E$499+$E$12&lt;$D$20:$D$499),$E$12,IF(AND($B$20:$B$499&lt;&gt;"",$D$20:$D$499-$E$20:$E$499&gt;0),$D$20:$D$499-$E$20:$E$499,IF($B$20:$B$499&lt;&gt;"",0,"")))</f>
        <v>0</v>
      </c>
      <c r="G123" s="610">
        <f>IF(AND($B$20:$B$499&lt;&gt;"",$E$20:$E$499+$F$20:$F$499&lt;$D$20:$D$499),$E$20:$E$499+$F$20:$F$499,IF($B$20:$B$499&lt;&gt;"",$D$20:$D$499,""))</f>
        <v>24114.8980934895</v>
      </c>
      <c r="H123" s="610">
        <f>IF($B$20:$B$499&lt;&gt;"",$G$20:$G$499-$I$20:$I$499,"")</f>
        <v>10869.7645310225</v>
      </c>
      <c r="I123" s="610">
        <f>IF($B$20:$B$499&lt;&gt;"",$D$20:$D$499*$E$8/$E$10,"")</f>
        <v>13245.133562467</v>
      </c>
      <c r="J123" s="610">
        <f>IF(AND($B$20:$B$499&lt;&gt;"",$E$20:$E$499+$F$20:$F$499&lt;$D$20:$D$499),$D$20:$D$499-$H$20:$H$499,IF($B$20:$B$499&lt;&gt;"",0,""))</f>
        <v>2259724.56046332</v>
      </c>
      <c r="K123" s="610">
        <f>SUM($I$20:$I123)</f>
        <v>1657273.96218624</v>
      </c>
      <c r="L123" s="371"/>
      <c r="M123" s="371"/>
      <c r="N123" s="6"/>
      <c r="O123" s="6"/>
      <c r="P123" s="6"/>
      <c r="Q123" s="6"/>
      <c r="R123" s="6"/>
      <c r="S123" s="6"/>
      <c r="T123" s="6"/>
      <c r="U123" s="7"/>
    </row>
    <row r="124" ht="13.75" customHeight="1">
      <c r="A124" s="5"/>
      <c r="B124" s="608">
        <v>105</v>
      </c>
      <c r="C124" s="609">
        <f>IF($B$20:$B$499&lt;&gt;"",DATE(YEAR($E$11),MONTH($E$11)+($B$20:$B$499)*12/$E$10,DAY($E$11)),"")</f>
        <v>48458</v>
      </c>
      <c r="D124" s="610">
        <f>IF($B$20:$B$499&lt;&gt;"",J123,"")</f>
        <v>2259724.56046332</v>
      </c>
      <c r="E124" s="610">
        <f>IF($B$20:$B$499&lt;&gt;"",$K$7,"")</f>
        <v>24114.8980934895</v>
      </c>
      <c r="F124" s="610">
        <f>IF(AND($B$20:$B$499&lt;&gt;"",$E$20:$E$499+$E$12&lt;$D$20:$D$499),$E$12,IF(AND($B$20:$B$499&lt;&gt;"",$D$20:$D$499-$E$20:$E$499&gt;0),$D$20:$D$499-$E$20:$E$499,IF($B$20:$B$499&lt;&gt;"",0,"")))</f>
        <v>0</v>
      </c>
      <c r="G124" s="610">
        <f>IF(AND($B$20:$B$499&lt;&gt;"",$E$20:$E$499+$F$20:$F$499&lt;$D$20:$D$499),$E$20:$E$499+$F$20:$F$499,IF($B$20:$B$499&lt;&gt;"",$D$20:$D$499,""))</f>
        <v>24114.8980934895</v>
      </c>
      <c r="H124" s="610">
        <f>IF($B$20:$B$499&lt;&gt;"",$G$20:$G$499-$I$20:$I$499,"")</f>
        <v>10933.1714907868</v>
      </c>
      <c r="I124" s="610">
        <f>IF($B$20:$B$499&lt;&gt;"",$D$20:$D$499*$E$8/$E$10,"")</f>
        <v>13181.7266027027</v>
      </c>
      <c r="J124" s="610">
        <f>IF(AND($B$20:$B$499&lt;&gt;"",$E$20:$E$499+$F$20:$F$499&lt;$D$20:$D$499),$D$20:$D$499-$H$20:$H$499,IF($B$20:$B$499&lt;&gt;"",0,""))</f>
        <v>2248791.38897253</v>
      </c>
      <c r="K124" s="610">
        <f>SUM($I$20:$I124)</f>
        <v>1670455.68878894</v>
      </c>
      <c r="L124" s="371"/>
      <c r="M124" s="371"/>
      <c r="N124" s="6"/>
      <c r="O124" s="6"/>
      <c r="P124" s="6"/>
      <c r="Q124" s="6"/>
      <c r="R124" s="6"/>
      <c r="S124" s="6"/>
      <c r="T124" s="6"/>
      <c r="U124" s="7"/>
    </row>
    <row r="125" ht="13.75" customHeight="1">
      <c r="A125" s="5"/>
      <c r="B125" s="608">
        <v>106</v>
      </c>
      <c r="C125" s="609">
        <f>IF($B$20:$B$499&lt;&gt;"",DATE(YEAR($E$11),MONTH($E$11)+($B$20:$B$499)*12/$E$10,DAY($E$11)),"")</f>
        <v>48488</v>
      </c>
      <c r="D125" s="610">
        <f>IF($B$20:$B$499&lt;&gt;"",J124,"")</f>
        <v>2248791.38897253</v>
      </c>
      <c r="E125" s="610">
        <f>IF($B$20:$B$499&lt;&gt;"",$K$7,"")</f>
        <v>24114.8980934895</v>
      </c>
      <c r="F125" s="610">
        <f>IF(AND($B$20:$B$499&lt;&gt;"",$E$20:$E$499+$E$12&lt;$D$20:$D$499),$E$12,IF(AND($B$20:$B$499&lt;&gt;"",$D$20:$D$499-$E$20:$E$499&gt;0),$D$20:$D$499-$E$20:$E$499,IF($B$20:$B$499&lt;&gt;"",0,"")))</f>
        <v>0</v>
      </c>
      <c r="G125" s="610">
        <f>IF(AND($B$20:$B$499&lt;&gt;"",$E$20:$E$499+$F$20:$F$499&lt;$D$20:$D$499),$E$20:$E$499+$F$20:$F$499,IF($B$20:$B$499&lt;&gt;"",$D$20:$D$499,""))</f>
        <v>24114.8980934895</v>
      </c>
      <c r="H125" s="610">
        <f>IF($B$20:$B$499&lt;&gt;"",$G$20:$G$499-$I$20:$I$499,"")</f>
        <v>10996.9483244831</v>
      </c>
      <c r="I125" s="610">
        <f>IF($B$20:$B$499&lt;&gt;"",$D$20:$D$499*$E$8/$E$10,"")</f>
        <v>13117.9497690064</v>
      </c>
      <c r="J125" s="610">
        <f>IF(AND($B$20:$B$499&lt;&gt;"",$E$20:$E$499+$F$20:$F$499&lt;$D$20:$D$499),$D$20:$D$499-$H$20:$H$499,IF($B$20:$B$499&lt;&gt;"",0,""))</f>
        <v>2237794.44064805</v>
      </c>
      <c r="K125" s="610">
        <f>SUM($I$20:$I125)</f>
        <v>1683573.63855795</v>
      </c>
      <c r="L125" s="371"/>
      <c r="M125" s="371"/>
      <c r="N125" s="6"/>
      <c r="O125" s="6"/>
      <c r="P125" s="6"/>
      <c r="Q125" s="6"/>
      <c r="R125" s="6"/>
      <c r="S125" s="6"/>
      <c r="T125" s="6"/>
      <c r="U125" s="7"/>
    </row>
    <row r="126" ht="13.75" customHeight="1">
      <c r="A126" s="5"/>
      <c r="B126" s="608">
        <v>107</v>
      </c>
      <c r="C126" s="609">
        <f>IF($B$20:$B$499&lt;&gt;"",DATE(YEAR($E$11),MONTH($E$11)+($B$20:$B$499)*12/$E$10,DAY($E$11)),"")</f>
        <v>48519</v>
      </c>
      <c r="D126" s="610">
        <f>IF($B$20:$B$499&lt;&gt;"",J125,"")</f>
        <v>2237794.44064805</v>
      </c>
      <c r="E126" s="610">
        <f>IF($B$20:$B$499&lt;&gt;"",$K$7,"")</f>
        <v>24114.8980934895</v>
      </c>
      <c r="F126" s="610">
        <f>IF(AND($B$20:$B$499&lt;&gt;"",$E$20:$E$499+$E$12&lt;$D$20:$D$499),$E$12,IF(AND($B$20:$B$499&lt;&gt;"",$D$20:$D$499-$E$20:$E$499&gt;0),$D$20:$D$499-$E$20:$E$499,IF($B$20:$B$499&lt;&gt;"",0,"")))</f>
        <v>0</v>
      </c>
      <c r="G126" s="610">
        <f>IF(AND($B$20:$B$499&lt;&gt;"",$E$20:$E$499+$F$20:$F$499&lt;$D$20:$D$499),$E$20:$E$499+$F$20:$F$499,IF($B$20:$B$499&lt;&gt;"",$D$20:$D$499,""))</f>
        <v>24114.8980934895</v>
      </c>
      <c r="H126" s="610">
        <f>IF($B$20:$B$499&lt;&gt;"",$G$20:$G$499-$I$20:$I$499,"")</f>
        <v>11061.0971897092</v>
      </c>
      <c r="I126" s="610">
        <f>IF($B$20:$B$499&lt;&gt;"",$D$20:$D$499*$E$8/$E$10,"")</f>
        <v>13053.8009037803</v>
      </c>
      <c r="J126" s="610">
        <f>IF(AND($B$20:$B$499&lt;&gt;"",$E$20:$E$499+$F$20:$F$499&lt;$D$20:$D$499),$D$20:$D$499-$H$20:$H$499,IF($B$20:$B$499&lt;&gt;"",0,""))</f>
        <v>2226733.34345834</v>
      </c>
      <c r="K126" s="610">
        <f>SUM($I$20:$I126)</f>
        <v>1696627.43946173</v>
      </c>
      <c r="L126" s="371"/>
      <c r="M126" s="371"/>
      <c r="N126" s="6"/>
      <c r="O126" s="6"/>
      <c r="P126" s="6"/>
      <c r="Q126" s="6"/>
      <c r="R126" s="6"/>
      <c r="S126" s="6"/>
      <c r="T126" s="6"/>
      <c r="U126" s="7"/>
    </row>
    <row r="127" ht="13.75" customHeight="1">
      <c r="A127" s="5"/>
      <c r="B127" s="608">
        <v>108</v>
      </c>
      <c r="C127" s="609">
        <f>IF($B$20:$B$499&lt;&gt;"",DATE(YEAR($E$11),MONTH($E$11)+($B$20:$B$499)*12/$E$10,DAY($E$11)),"")</f>
        <v>48549</v>
      </c>
      <c r="D127" s="610">
        <f>IF($B$20:$B$499&lt;&gt;"",J126,"")</f>
        <v>2226733.34345834</v>
      </c>
      <c r="E127" s="610">
        <f>IF($B$20:$B$499&lt;&gt;"",$K$7,"")</f>
        <v>24114.8980934895</v>
      </c>
      <c r="F127" s="610">
        <f>IF(AND($B$20:$B$499&lt;&gt;"",$E$20:$E$499+$E$12&lt;$D$20:$D$499),$E$12,IF(AND($B$20:$B$499&lt;&gt;"",$D$20:$D$499-$E$20:$E$499&gt;0),$D$20:$D$499-$E$20:$E$499,IF($B$20:$B$499&lt;&gt;"",0,"")))</f>
        <v>0</v>
      </c>
      <c r="G127" s="610">
        <f>IF(AND($B$20:$B$499&lt;&gt;"",$E$20:$E$499+$F$20:$F$499&lt;$D$20:$D$499),$E$20:$E$499+$F$20:$F$499,IF($B$20:$B$499&lt;&gt;"",$D$20:$D$499,""))</f>
        <v>24114.8980934895</v>
      </c>
      <c r="H127" s="610">
        <f>IF($B$20:$B$499&lt;&gt;"",$G$20:$G$499-$I$20:$I$499,"")</f>
        <v>11125.6202566492</v>
      </c>
      <c r="I127" s="610">
        <f>IF($B$20:$B$499&lt;&gt;"",$D$20:$D$499*$E$8/$E$10,"")</f>
        <v>12989.2778368403</v>
      </c>
      <c r="J127" s="610">
        <f>IF(AND($B$20:$B$499&lt;&gt;"",$E$20:$E$499+$F$20:$F$499&lt;$D$20:$D$499),$D$20:$D$499-$H$20:$H$499,IF($B$20:$B$499&lt;&gt;"",0,""))</f>
        <v>2215607.72320169</v>
      </c>
      <c r="K127" s="610">
        <f>SUM($I$20:$I127)</f>
        <v>1709616.71729857</v>
      </c>
      <c r="L127" s="371"/>
      <c r="M127" s="371"/>
      <c r="N127" s="6"/>
      <c r="O127" s="6"/>
      <c r="P127" s="6"/>
      <c r="Q127" s="6"/>
      <c r="R127" s="6"/>
      <c r="S127" s="6"/>
      <c r="T127" s="6"/>
      <c r="U127" s="7"/>
    </row>
    <row r="128" ht="13.75" customHeight="1">
      <c r="A128" s="5"/>
      <c r="B128" s="608">
        <v>109</v>
      </c>
      <c r="C128" s="609">
        <f>IF($B$20:$B$499&lt;&gt;"",DATE(YEAR($E$11),MONTH($E$11)+($B$20:$B$499)*12/$E$10,DAY($E$11)),"")</f>
        <v>48580</v>
      </c>
      <c r="D128" s="610">
        <f>IF($B$20:$B$499&lt;&gt;"",J127,"")</f>
        <v>2215607.72320169</v>
      </c>
      <c r="E128" s="610">
        <f>IF($B$20:$B$499&lt;&gt;"",$K$7,"")</f>
        <v>24114.8980934895</v>
      </c>
      <c r="F128" s="610">
        <f>IF(AND($B$20:$B$499&lt;&gt;"",$E$20:$E$499+$E$12&lt;$D$20:$D$499),$E$12,IF(AND($B$20:$B$499&lt;&gt;"",$D$20:$D$499-$E$20:$E$499&gt;0),$D$20:$D$499-$E$20:$E$499,IF($B$20:$B$499&lt;&gt;"",0,"")))</f>
        <v>0</v>
      </c>
      <c r="G128" s="610">
        <f>IF(AND($B$20:$B$499&lt;&gt;"",$E$20:$E$499+$F$20:$F$499&lt;$D$20:$D$499),$E$20:$E$499+$F$20:$F$499,IF($B$20:$B$499&lt;&gt;"",$D$20:$D$499,""))</f>
        <v>24114.8980934895</v>
      </c>
      <c r="H128" s="610">
        <f>IF($B$20:$B$499&lt;&gt;"",$G$20:$G$499-$I$20:$I$499,"")</f>
        <v>11190.5197081463</v>
      </c>
      <c r="I128" s="610">
        <f>IF($B$20:$B$499&lt;&gt;"",$D$20:$D$499*$E$8/$E$10,"")</f>
        <v>12924.3783853432</v>
      </c>
      <c r="J128" s="610">
        <f>IF(AND($B$20:$B$499&lt;&gt;"",$E$20:$E$499+$F$20:$F$499&lt;$D$20:$D$499),$D$20:$D$499-$H$20:$H$499,IF($B$20:$B$499&lt;&gt;"",0,""))</f>
        <v>2204417.20349354</v>
      </c>
      <c r="K128" s="610">
        <f>SUM($I$20:$I128)</f>
        <v>1722541.09568391</v>
      </c>
      <c r="L128" s="371"/>
      <c r="M128" s="371"/>
      <c r="N128" s="6"/>
      <c r="O128" s="6"/>
      <c r="P128" s="6"/>
      <c r="Q128" s="6"/>
      <c r="R128" s="6"/>
      <c r="S128" s="6"/>
      <c r="T128" s="6"/>
      <c r="U128" s="7"/>
    </row>
    <row r="129" ht="13.75" customHeight="1">
      <c r="A129" s="5"/>
      <c r="B129" s="608">
        <v>110</v>
      </c>
      <c r="C129" s="609">
        <f>IF($B$20:$B$499&lt;&gt;"",DATE(YEAR($E$11),MONTH($E$11)+($B$20:$B$499)*12/$E$10,DAY($E$11)),"")</f>
        <v>48611</v>
      </c>
      <c r="D129" s="610">
        <f>IF($B$20:$B$499&lt;&gt;"",J128,"")</f>
        <v>2204417.20349354</v>
      </c>
      <c r="E129" s="610">
        <f>IF($B$20:$B$499&lt;&gt;"",$K$7,"")</f>
        <v>24114.8980934895</v>
      </c>
      <c r="F129" s="610">
        <f>IF(AND($B$20:$B$499&lt;&gt;"",$E$20:$E$499+$E$12&lt;$D$20:$D$499),$E$12,IF(AND($B$20:$B$499&lt;&gt;"",$D$20:$D$499-$E$20:$E$499&gt;0),$D$20:$D$499-$E$20:$E$499,IF($B$20:$B$499&lt;&gt;"",0,"")))</f>
        <v>0</v>
      </c>
      <c r="G129" s="610">
        <f>IF(AND($B$20:$B$499&lt;&gt;"",$E$20:$E$499+$F$20:$F$499&lt;$D$20:$D$499),$E$20:$E$499+$F$20:$F$499,IF($B$20:$B$499&lt;&gt;"",$D$20:$D$499,""))</f>
        <v>24114.8980934895</v>
      </c>
      <c r="H129" s="610">
        <f>IF($B$20:$B$499&lt;&gt;"",$G$20:$G$499-$I$20:$I$499,"")</f>
        <v>11255.7977397772</v>
      </c>
      <c r="I129" s="610">
        <f>IF($B$20:$B$499&lt;&gt;"",$D$20:$D$499*$E$8/$E$10,"")</f>
        <v>12859.1003537123</v>
      </c>
      <c r="J129" s="610">
        <f>IF(AND($B$20:$B$499&lt;&gt;"",$E$20:$E$499+$F$20:$F$499&lt;$D$20:$D$499),$D$20:$D$499-$H$20:$H$499,IF($B$20:$B$499&lt;&gt;"",0,""))</f>
        <v>2193161.40575376</v>
      </c>
      <c r="K129" s="610">
        <f>SUM($I$20:$I129)</f>
        <v>1735400.19603762</v>
      </c>
      <c r="L129" s="371"/>
      <c r="M129" s="371"/>
      <c r="N129" s="6"/>
      <c r="O129" s="6"/>
      <c r="P129" s="6"/>
      <c r="Q129" s="6"/>
      <c r="R129" s="6"/>
      <c r="S129" s="6"/>
      <c r="T129" s="6"/>
      <c r="U129" s="7"/>
    </row>
    <row r="130" ht="13.75" customHeight="1">
      <c r="A130" s="5"/>
      <c r="B130" s="608">
        <v>111</v>
      </c>
      <c r="C130" s="609">
        <f>IF($B$20:$B$499&lt;&gt;"",DATE(YEAR($E$11),MONTH($E$11)+($B$20:$B$499)*12/$E$10,DAY($E$11)),"")</f>
        <v>48639</v>
      </c>
      <c r="D130" s="610">
        <f>IF($B$20:$B$499&lt;&gt;"",J129,"")</f>
        <v>2193161.40575376</v>
      </c>
      <c r="E130" s="610">
        <f>IF($B$20:$B$499&lt;&gt;"",$K$7,"")</f>
        <v>24114.8980934895</v>
      </c>
      <c r="F130" s="610">
        <f>IF(AND($B$20:$B$499&lt;&gt;"",$E$20:$E$499+$E$12&lt;$D$20:$D$499),$E$12,IF(AND($B$20:$B$499&lt;&gt;"",$D$20:$D$499-$E$20:$E$499&gt;0),$D$20:$D$499-$E$20:$E$499,IF($B$20:$B$499&lt;&gt;"",0,"")))</f>
        <v>0</v>
      </c>
      <c r="G130" s="610">
        <f>IF(AND($B$20:$B$499&lt;&gt;"",$E$20:$E$499+$F$20:$F$499&lt;$D$20:$D$499),$E$20:$E$499+$F$20:$F$499,IF($B$20:$B$499&lt;&gt;"",$D$20:$D$499,""))</f>
        <v>24114.8980934895</v>
      </c>
      <c r="H130" s="610">
        <f>IF($B$20:$B$499&lt;&gt;"",$G$20:$G$499-$I$20:$I$499,"")</f>
        <v>11321.4565599259</v>
      </c>
      <c r="I130" s="610">
        <f>IF($B$20:$B$499&lt;&gt;"",$D$20:$D$499*$E$8/$E$10,"")</f>
        <v>12793.4415335636</v>
      </c>
      <c r="J130" s="610">
        <f>IF(AND($B$20:$B$499&lt;&gt;"",$E$20:$E$499+$F$20:$F$499&lt;$D$20:$D$499),$D$20:$D$499-$H$20:$H$499,IF($B$20:$B$499&lt;&gt;"",0,""))</f>
        <v>2181839.94919383</v>
      </c>
      <c r="K130" s="610">
        <f>SUM($I$20:$I130)</f>
        <v>1748193.63757119</v>
      </c>
      <c r="L130" s="371"/>
      <c r="M130" s="371"/>
      <c r="N130" s="6"/>
      <c r="O130" s="6"/>
      <c r="P130" s="6"/>
      <c r="Q130" s="6"/>
      <c r="R130" s="6"/>
      <c r="S130" s="6"/>
      <c r="T130" s="6"/>
      <c r="U130" s="7"/>
    </row>
    <row r="131" ht="13.75" customHeight="1">
      <c r="A131" s="5"/>
      <c r="B131" s="608">
        <v>112</v>
      </c>
      <c r="C131" s="609">
        <f>IF($B$20:$B$499&lt;&gt;"",DATE(YEAR($E$11),MONTH($E$11)+($B$20:$B$499)*12/$E$10,DAY($E$11)),"")</f>
        <v>48670</v>
      </c>
      <c r="D131" s="610">
        <f>IF($B$20:$B$499&lt;&gt;"",J130,"")</f>
        <v>2181839.94919383</v>
      </c>
      <c r="E131" s="610">
        <f>IF($B$20:$B$499&lt;&gt;"",$K$7,"")</f>
        <v>24114.8980934895</v>
      </c>
      <c r="F131" s="610">
        <f>IF(AND($B$20:$B$499&lt;&gt;"",$E$20:$E$499+$E$12&lt;$D$20:$D$499),$E$12,IF(AND($B$20:$B$499&lt;&gt;"",$D$20:$D$499-$E$20:$E$499&gt;0),$D$20:$D$499-$E$20:$E$499,IF($B$20:$B$499&lt;&gt;"",0,"")))</f>
        <v>0</v>
      </c>
      <c r="G131" s="610">
        <f>IF(AND($B$20:$B$499&lt;&gt;"",$E$20:$E$499+$F$20:$F$499&lt;$D$20:$D$499),$E$20:$E$499+$F$20:$F$499,IF($B$20:$B$499&lt;&gt;"",$D$20:$D$499,""))</f>
        <v>24114.8980934895</v>
      </c>
      <c r="H131" s="610">
        <f>IF($B$20:$B$499&lt;&gt;"",$G$20:$G$499-$I$20:$I$499,"")</f>
        <v>11387.4983898588</v>
      </c>
      <c r="I131" s="610">
        <f>IF($B$20:$B$499&lt;&gt;"",$D$20:$D$499*$E$8/$E$10,"")</f>
        <v>12727.3997036307</v>
      </c>
      <c r="J131" s="610">
        <f>IF(AND($B$20:$B$499&lt;&gt;"",$E$20:$E$499+$F$20:$F$499&lt;$D$20:$D$499),$D$20:$D$499-$H$20:$H$499,IF($B$20:$B$499&lt;&gt;"",0,""))</f>
        <v>2170452.45080397</v>
      </c>
      <c r="K131" s="610">
        <f>SUM($I$20:$I131)</f>
        <v>1760921.03727482</v>
      </c>
      <c r="L131" s="371"/>
      <c r="M131" s="371"/>
      <c r="N131" s="6"/>
      <c r="O131" s="6"/>
      <c r="P131" s="6"/>
      <c r="Q131" s="6"/>
      <c r="R131" s="6"/>
      <c r="S131" s="6"/>
      <c r="T131" s="6"/>
      <c r="U131" s="7"/>
    </row>
    <row r="132" ht="13.75" customHeight="1">
      <c r="A132" s="5"/>
      <c r="B132" s="608">
        <v>113</v>
      </c>
      <c r="C132" s="609">
        <f>IF($B$20:$B$499&lt;&gt;"",DATE(YEAR($E$11),MONTH($E$11)+($B$20:$B$499)*12/$E$10,DAY($E$11)),"")</f>
        <v>48700</v>
      </c>
      <c r="D132" s="610">
        <f>IF($B$20:$B$499&lt;&gt;"",J131,"")</f>
        <v>2170452.45080397</v>
      </c>
      <c r="E132" s="610">
        <f>IF($B$20:$B$499&lt;&gt;"",$K$7,"")</f>
        <v>24114.8980934895</v>
      </c>
      <c r="F132" s="610">
        <f>IF(AND($B$20:$B$499&lt;&gt;"",$E$20:$E$499+$E$12&lt;$D$20:$D$499),$E$12,IF(AND($B$20:$B$499&lt;&gt;"",$D$20:$D$499-$E$20:$E$499&gt;0),$D$20:$D$499-$E$20:$E$499,IF($B$20:$B$499&lt;&gt;"",0,"")))</f>
        <v>0</v>
      </c>
      <c r="G132" s="610">
        <f>IF(AND($B$20:$B$499&lt;&gt;"",$E$20:$E$499+$F$20:$F$499&lt;$D$20:$D$499),$E$20:$E$499+$F$20:$F$499,IF($B$20:$B$499&lt;&gt;"",$D$20:$D$499,""))</f>
        <v>24114.8980934895</v>
      </c>
      <c r="H132" s="610">
        <f>IF($B$20:$B$499&lt;&gt;"",$G$20:$G$499-$I$20:$I$499,"")</f>
        <v>11453.9254637997</v>
      </c>
      <c r="I132" s="610">
        <f>IF($B$20:$B$499&lt;&gt;"",$D$20:$D$499*$E$8/$E$10,"")</f>
        <v>12660.9726296898</v>
      </c>
      <c r="J132" s="610">
        <f>IF(AND($B$20:$B$499&lt;&gt;"",$E$20:$E$499+$F$20:$F$499&lt;$D$20:$D$499),$D$20:$D$499-$H$20:$H$499,IF($B$20:$B$499&lt;&gt;"",0,""))</f>
        <v>2158998.52534017</v>
      </c>
      <c r="K132" s="610">
        <f>SUM($I$20:$I132)</f>
        <v>1773582.00990451</v>
      </c>
      <c r="L132" s="371"/>
      <c r="M132" s="371"/>
      <c r="N132" s="6"/>
      <c r="O132" s="6"/>
      <c r="P132" s="6"/>
      <c r="Q132" s="6"/>
      <c r="R132" s="6"/>
      <c r="S132" s="6"/>
      <c r="T132" s="6"/>
      <c r="U132" s="7"/>
    </row>
    <row r="133" ht="13.75" customHeight="1">
      <c r="A133" s="5"/>
      <c r="B133" s="608">
        <v>114</v>
      </c>
      <c r="C133" s="609">
        <f>IF($B$20:$B$499&lt;&gt;"",DATE(YEAR($E$11),MONTH($E$11)+($B$20:$B$499)*12/$E$10,DAY($E$11)),"")</f>
        <v>48731</v>
      </c>
      <c r="D133" s="610">
        <f>IF($B$20:$B$499&lt;&gt;"",J132,"")</f>
        <v>2158998.52534017</v>
      </c>
      <c r="E133" s="610">
        <f>IF($B$20:$B$499&lt;&gt;"",$K$7,"")</f>
        <v>24114.8980934895</v>
      </c>
      <c r="F133" s="610">
        <f>IF(AND($B$20:$B$499&lt;&gt;"",$E$20:$E$499+$E$12&lt;$D$20:$D$499),$E$12,IF(AND($B$20:$B$499&lt;&gt;"",$D$20:$D$499-$E$20:$E$499&gt;0),$D$20:$D$499-$E$20:$E$499,IF($B$20:$B$499&lt;&gt;"",0,"")))</f>
        <v>0</v>
      </c>
      <c r="G133" s="610">
        <f>IF(AND($B$20:$B$499&lt;&gt;"",$E$20:$E$499+$F$20:$F$499&lt;$D$20:$D$499),$E$20:$E$499+$F$20:$F$499,IF($B$20:$B$499&lt;&gt;"",$D$20:$D$499,""))</f>
        <v>24114.8980934895</v>
      </c>
      <c r="H133" s="610">
        <f>IF($B$20:$B$499&lt;&gt;"",$G$20:$G$499-$I$20:$I$499,"")</f>
        <v>11520.7400290052</v>
      </c>
      <c r="I133" s="610">
        <f>IF($B$20:$B$499&lt;&gt;"",$D$20:$D$499*$E$8/$E$10,"")</f>
        <v>12594.1580644843</v>
      </c>
      <c r="J133" s="610">
        <f>IF(AND($B$20:$B$499&lt;&gt;"",$E$20:$E$499+$F$20:$F$499&lt;$D$20:$D$499),$D$20:$D$499-$H$20:$H$499,IF($B$20:$B$499&lt;&gt;"",0,""))</f>
        <v>2147477.78531116</v>
      </c>
      <c r="K133" s="610">
        <f>SUM($I$20:$I133)</f>
        <v>1786176.16796899</v>
      </c>
      <c r="L133" s="371"/>
      <c r="M133" s="371"/>
      <c r="N133" s="6"/>
      <c r="O133" s="6"/>
      <c r="P133" s="6"/>
      <c r="Q133" s="6"/>
      <c r="R133" s="6"/>
      <c r="S133" s="6"/>
      <c r="T133" s="6"/>
      <c r="U133" s="7"/>
    </row>
    <row r="134" ht="13.75" customHeight="1">
      <c r="A134" s="5"/>
      <c r="B134" s="608">
        <v>115</v>
      </c>
      <c r="C134" s="609">
        <f>IF($B$20:$B$499&lt;&gt;"",DATE(YEAR($E$11),MONTH($E$11)+($B$20:$B$499)*12/$E$10,DAY($E$11)),"")</f>
        <v>48761</v>
      </c>
      <c r="D134" s="610">
        <f>IF($B$20:$B$499&lt;&gt;"",J133,"")</f>
        <v>2147477.78531116</v>
      </c>
      <c r="E134" s="610">
        <f>IF($B$20:$B$499&lt;&gt;"",$K$7,"")</f>
        <v>24114.8980934895</v>
      </c>
      <c r="F134" s="610">
        <f>IF(AND($B$20:$B$499&lt;&gt;"",$E$20:$E$499+$E$12&lt;$D$20:$D$499),$E$12,IF(AND($B$20:$B$499&lt;&gt;"",$D$20:$D$499-$E$20:$E$499&gt;0),$D$20:$D$499-$E$20:$E$499,IF($B$20:$B$499&lt;&gt;"",0,"")))</f>
        <v>0</v>
      </c>
      <c r="G134" s="610">
        <f>IF(AND($B$20:$B$499&lt;&gt;"",$E$20:$E$499+$F$20:$F$499&lt;$D$20:$D$499),$E$20:$E$499+$F$20:$F$499,IF($B$20:$B$499&lt;&gt;"",$D$20:$D$499,""))</f>
        <v>24114.8980934895</v>
      </c>
      <c r="H134" s="610">
        <f>IF($B$20:$B$499&lt;&gt;"",$G$20:$G$499-$I$20:$I$499,"")</f>
        <v>11587.9443458411</v>
      </c>
      <c r="I134" s="610">
        <f>IF($B$20:$B$499&lt;&gt;"",$D$20:$D$499*$E$8/$E$10,"")</f>
        <v>12526.9537476484</v>
      </c>
      <c r="J134" s="610">
        <f>IF(AND($B$20:$B$499&lt;&gt;"",$E$20:$E$499+$F$20:$F$499&lt;$D$20:$D$499),$D$20:$D$499-$H$20:$H$499,IF($B$20:$B$499&lt;&gt;"",0,""))</f>
        <v>2135889.84096532</v>
      </c>
      <c r="K134" s="610">
        <f>SUM($I$20:$I134)</f>
        <v>1798703.12171664</v>
      </c>
      <c r="L134" s="371"/>
      <c r="M134" s="371"/>
      <c r="N134" s="6"/>
      <c r="O134" s="6"/>
      <c r="P134" s="6"/>
      <c r="Q134" s="6"/>
      <c r="R134" s="6"/>
      <c r="S134" s="6"/>
      <c r="T134" s="6"/>
      <c r="U134" s="7"/>
    </row>
    <row r="135" ht="13.75" customHeight="1">
      <c r="A135" s="5"/>
      <c r="B135" s="608">
        <v>116</v>
      </c>
      <c r="C135" s="609">
        <f>IF($B$20:$B$499&lt;&gt;"",DATE(YEAR($E$11),MONTH($E$11)+($B$20:$B$499)*12/$E$10,DAY($E$11)),"")</f>
        <v>48792</v>
      </c>
      <c r="D135" s="610">
        <f>IF($B$20:$B$499&lt;&gt;"",J134,"")</f>
        <v>2135889.84096532</v>
      </c>
      <c r="E135" s="610">
        <f>IF($B$20:$B$499&lt;&gt;"",$K$7,"")</f>
        <v>24114.8980934895</v>
      </c>
      <c r="F135" s="610">
        <f>IF(AND($B$20:$B$499&lt;&gt;"",$E$20:$E$499+$E$12&lt;$D$20:$D$499),$E$12,IF(AND($B$20:$B$499&lt;&gt;"",$D$20:$D$499-$E$20:$E$499&gt;0),$D$20:$D$499-$E$20:$E$499,IF($B$20:$B$499&lt;&gt;"",0,"")))</f>
        <v>0</v>
      </c>
      <c r="G135" s="610">
        <f>IF(AND($B$20:$B$499&lt;&gt;"",$E$20:$E$499+$F$20:$F$499&lt;$D$20:$D$499),$E$20:$E$499+$F$20:$F$499,IF($B$20:$B$499&lt;&gt;"",$D$20:$D$499,""))</f>
        <v>24114.8980934895</v>
      </c>
      <c r="H135" s="610">
        <f>IF($B$20:$B$499&lt;&gt;"",$G$20:$G$499-$I$20:$I$499,"")</f>
        <v>11655.5406878585</v>
      </c>
      <c r="I135" s="610">
        <f>IF($B$20:$B$499&lt;&gt;"",$D$20:$D$499*$E$8/$E$10,"")</f>
        <v>12459.357405631</v>
      </c>
      <c r="J135" s="610">
        <f>IF(AND($B$20:$B$499&lt;&gt;"",$E$20:$E$499+$F$20:$F$499&lt;$D$20:$D$499),$D$20:$D$499-$H$20:$H$499,IF($B$20:$B$499&lt;&gt;"",0,""))</f>
        <v>2124234.30027746</v>
      </c>
      <c r="K135" s="610">
        <f>SUM($I$20:$I135)</f>
        <v>1811162.47912227</v>
      </c>
      <c r="L135" s="371"/>
      <c r="M135" s="371"/>
      <c r="N135" s="6"/>
      <c r="O135" s="6"/>
      <c r="P135" s="6"/>
      <c r="Q135" s="6"/>
      <c r="R135" s="6"/>
      <c r="S135" s="6"/>
      <c r="T135" s="6"/>
      <c r="U135" s="7"/>
    </row>
    <row r="136" ht="13.75" customHeight="1">
      <c r="A136" s="5"/>
      <c r="B136" s="608">
        <v>117</v>
      </c>
      <c r="C136" s="609">
        <f>IF($B$20:$B$499&lt;&gt;"",DATE(YEAR($E$11),MONTH($E$11)+($B$20:$B$499)*12/$E$10,DAY($E$11)),"")</f>
        <v>48823</v>
      </c>
      <c r="D136" s="610">
        <f>IF($B$20:$B$499&lt;&gt;"",J135,"")</f>
        <v>2124234.30027746</v>
      </c>
      <c r="E136" s="610">
        <f>IF($B$20:$B$499&lt;&gt;"",$K$7,"")</f>
        <v>24114.8980934895</v>
      </c>
      <c r="F136" s="610">
        <f>IF(AND($B$20:$B$499&lt;&gt;"",$E$20:$E$499+$E$12&lt;$D$20:$D$499),$E$12,IF(AND($B$20:$B$499&lt;&gt;"",$D$20:$D$499-$E$20:$E$499&gt;0),$D$20:$D$499-$E$20:$E$499,IF($B$20:$B$499&lt;&gt;"",0,"")))</f>
        <v>0</v>
      </c>
      <c r="G136" s="610">
        <f>IF(AND($B$20:$B$499&lt;&gt;"",$E$20:$E$499+$F$20:$F$499&lt;$D$20:$D$499),$E$20:$E$499+$F$20:$F$499,IF($B$20:$B$499&lt;&gt;"",$D$20:$D$499,""))</f>
        <v>24114.8980934895</v>
      </c>
      <c r="H136" s="610">
        <f>IF($B$20:$B$499&lt;&gt;"",$G$20:$G$499-$I$20:$I$499,"")</f>
        <v>11723.531341871</v>
      </c>
      <c r="I136" s="610">
        <f>IF($B$20:$B$499&lt;&gt;"",$D$20:$D$499*$E$8/$E$10,"")</f>
        <v>12391.3667516185</v>
      </c>
      <c r="J136" s="610">
        <f>IF(AND($B$20:$B$499&lt;&gt;"",$E$20:$E$499+$F$20:$F$499&lt;$D$20:$D$499),$D$20:$D$499-$H$20:$H$499,IF($B$20:$B$499&lt;&gt;"",0,""))</f>
        <v>2112510.76893559</v>
      </c>
      <c r="K136" s="610">
        <f>SUM($I$20:$I136)</f>
        <v>1823553.84587389</v>
      </c>
      <c r="L136" s="371"/>
      <c r="M136" s="371"/>
      <c r="N136" s="6"/>
      <c r="O136" s="6"/>
      <c r="P136" s="6"/>
      <c r="Q136" s="6"/>
      <c r="R136" s="6"/>
      <c r="S136" s="6"/>
      <c r="T136" s="6"/>
      <c r="U136" s="7"/>
    </row>
    <row r="137" ht="13.75" customHeight="1">
      <c r="A137" s="5"/>
      <c r="B137" s="608">
        <v>118</v>
      </c>
      <c r="C137" s="609">
        <f>IF($B$20:$B$499&lt;&gt;"",DATE(YEAR($E$11),MONTH($E$11)+($B$20:$B$499)*12/$E$10,DAY($E$11)),"")</f>
        <v>48853</v>
      </c>
      <c r="D137" s="610">
        <f>IF($B$20:$B$499&lt;&gt;"",J136,"")</f>
        <v>2112510.76893559</v>
      </c>
      <c r="E137" s="610">
        <f>IF($B$20:$B$499&lt;&gt;"",$K$7,"")</f>
        <v>24114.8980934895</v>
      </c>
      <c r="F137" s="610">
        <f>IF(AND($B$20:$B$499&lt;&gt;"",$E$20:$E$499+$E$12&lt;$D$20:$D$499),$E$12,IF(AND($B$20:$B$499&lt;&gt;"",$D$20:$D$499-$E$20:$E$499&gt;0),$D$20:$D$499-$E$20:$E$499,IF($B$20:$B$499&lt;&gt;"",0,"")))</f>
        <v>0</v>
      </c>
      <c r="G137" s="610">
        <f>IF(AND($B$20:$B$499&lt;&gt;"",$E$20:$E$499+$F$20:$F$499&lt;$D$20:$D$499),$E$20:$E$499+$F$20:$F$499,IF($B$20:$B$499&lt;&gt;"",$D$20:$D$499,""))</f>
        <v>24114.8980934895</v>
      </c>
      <c r="H137" s="610">
        <f>IF($B$20:$B$499&lt;&gt;"",$G$20:$G$499-$I$20:$I$499,"")</f>
        <v>11791.9186080319</v>
      </c>
      <c r="I137" s="610">
        <f>IF($B$20:$B$499&lt;&gt;"",$D$20:$D$499*$E$8/$E$10,"")</f>
        <v>12322.9794854576</v>
      </c>
      <c r="J137" s="610">
        <f>IF(AND($B$20:$B$499&lt;&gt;"",$E$20:$E$499+$F$20:$F$499&lt;$D$20:$D$499),$D$20:$D$499-$H$20:$H$499,IF($B$20:$B$499&lt;&gt;"",0,""))</f>
        <v>2100718.85032756</v>
      </c>
      <c r="K137" s="610">
        <f>SUM($I$20:$I137)</f>
        <v>1835876.82535935</v>
      </c>
      <c r="L137" s="371"/>
      <c r="M137" s="371"/>
      <c r="N137" s="6"/>
      <c r="O137" s="6"/>
      <c r="P137" s="6"/>
      <c r="Q137" s="6"/>
      <c r="R137" s="6"/>
      <c r="S137" s="6"/>
      <c r="T137" s="6"/>
      <c r="U137" s="7"/>
    </row>
    <row r="138" ht="13.75" customHeight="1">
      <c r="A138" s="5"/>
      <c r="B138" s="608">
        <v>119</v>
      </c>
      <c r="C138" s="609">
        <f>IF($B$20:$B$499&lt;&gt;"",DATE(YEAR($E$11),MONTH($E$11)+($B$20:$B$499)*12/$E$10,DAY($E$11)),"")</f>
        <v>48884</v>
      </c>
      <c r="D138" s="610">
        <f>IF($B$20:$B$499&lt;&gt;"",J137,"")</f>
        <v>2100718.85032756</v>
      </c>
      <c r="E138" s="610">
        <f>IF($B$20:$B$499&lt;&gt;"",$K$7,"")</f>
        <v>24114.8980934895</v>
      </c>
      <c r="F138" s="610">
        <f>IF(AND($B$20:$B$499&lt;&gt;"",$E$20:$E$499+$E$12&lt;$D$20:$D$499),$E$12,IF(AND($B$20:$B$499&lt;&gt;"",$D$20:$D$499-$E$20:$E$499&gt;0),$D$20:$D$499-$E$20:$E$499,IF($B$20:$B$499&lt;&gt;"",0,"")))</f>
        <v>0</v>
      </c>
      <c r="G138" s="610">
        <f>IF(AND($B$20:$B$499&lt;&gt;"",$E$20:$E$499+$F$20:$F$499&lt;$D$20:$D$499),$E$20:$E$499+$F$20:$F$499,IF($B$20:$B$499&lt;&gt;"",$D$20:$D$499,""))</f>
        <v>24114.8980934895</v>
      </c>
      <c r="H138" s="610">
        <f>IF($B$20:$B$499&lt;&gt;"",$G$20:$G$499-$I$20:$I$499,"")</f>
        <v>11860.7047999121</v>
      </c>
      <c r="I138" s="610">
        <f>IF($B$20:$B$499&lt;&gt;"",$D$20:$D$499*$E$8/$E$10,"")</f>
        <v>12254.1932935774</v>
      </c>
      <c r="J138" s="610">
        <f>IF(AND($B$20:$B$499&lt;&gt;"",$E$20:$E$499+$F$20:$F$499&lt;$D$20:$D$499),$D$20:$D$499-$H$20:$H$499,IF($B$20:$B$499&lt;&gt;"",0,""))</f>
        <v>2088858.14552765</v>
      </c>
      <c r="K138" s="610">
        <f>SUM($I$20:$I138)</f>
        <v>1848131.01865293</v>
      </c>
      <c r="L138" s="371"/>
      <c r="M138" s="371"/>
      <c r="N138" s="6"/>
      <c r="O138" s="6"/>
      <c r="P138" s="6"/>
      <c r="Q138" s="6"/>
      <c r="R138" s="6"/>
      <c r="S138" s="6"/>
      <c r="T138" s="6"/>
      <c r="U138" s="7"/>
    </row>
    <row r="139" ht="13.75" customHeight="1">
      <c r="A139" s="5"/>
      <c r="B139" s="608">
        <v>120</v>
      </c>
      <c r="C139" s="609">
        <f>IF($B$20:$B$499&lt;&gt;"",DATE(YEAR($E$11),MONTH($E$11)+($B$20:$B$499)*12/$E$10,DAY($E$11)),"")</f>
        <v>48914</v>
      </c>
      <c r="D139" s="610">
        <f>IF($B$20:$B$499&lt;&gt;"",J138,"")</f>
        <v>2088858.14552765</v>
      </c>
      <c r="E139" s="610">
        <f>IF($B$20:$B$499&lt;&gt;"",$K$7,"")</f>
        <v>24114.8980934895</v>
      </c>
      <c r="F139" s="610">
        <f>IF(AND($B$20:$B$499&lt;&gt;"",$E$20:$E$499+$E$12&lt;$D$20:$D$499),$E$12,IF(AND($B$20:$B$499&lt;&gt;"",$D$20:$D$499-$E$20:$E$499&gt;0),$D$20:$D$499-$E$20:$E$499,IF($B$20:$B$499&lt;&gt;"",0,"")))</f>
        <v>0</v>
      </c>
      <c r="G139" s="610">
        <f>IF(AND($B$20:$B$499&lt;&gt;"",$E$20:$E$499+$F$20:$F$499&lt;$D$20:$D$499),$E$20:$E$499+$F$20:$F$499,IF($B$20:$B$499&lt;&gt;"",$D$20:$D$499,""))</f>
        <v>24114.8980934895</v>
      </c>
      <c r="H139" s="610">
        <f>IF($B$20:$B$499&lt;&gt;"",$G$20:$G$499-$I$20:$I$499,"")</f>
        <v>11929.8922445782</v>
      </c>
      <c r="I139" s="610">
        <f>IF($B$20:$B$499&lt;&gt;"",$D$20:$D$499*$E$8/$E$10,"")</f>
        <v>12185.0058489113</v>
      </c>
      <c r="J139" s="610">
        <f>IF(AND($B$20:$B$499&lt;&gt;"",$E$20:$E$499+$F$20:$F$499&lt;$D$20:$D$499),$D$20:$D$499-$H$20:$H$499,IF($B$20:$B$499&lt;&gt;"",0,""))</f>
        <v>2076928.25328307</v>
      </c>
      <c r="K139" s="610">
        <f>SUM($I$20:$I139)</f>
        <v>1860316.02450184</v>
      </c>
      <c r="L139" s="371"/>
      <c r="M139" s="371"/>
      <c r="N139" s="6"/>
      <c r="O139" s="6"/>
      <c r="P139" s="6"/>
      <c r="Q139" s="6"/>
      <c r="R139" s="6"/>
      <c r="S139" s="6"/>
      <c r="T139" s="6"/>
      <c r="U139" s="7"/>
    </row>
    <row r="140" ht="13.75" customHeight="1">
      <c r="A140" s="5"/>
      <c r="B140" s="608">
        <v>121</v>
      </c>
      <c r="C140" s="609">
        <f>IF($B$20:$B$499&lt;&gt;"",DATE(YEAR($E$11),MONTH($E$11)+($B$20:$B$499)*12/$E$10,DAY($E$11)),"")</f>
        <v>48945</v>
      </c>
      <c r="D140" s="610">
        <f>IF($B$20:$B$499&lt;&gt;"",J139,"")</f>
        <v>2076928.25328307</v>
      </c>
      <c r="E140" s="610">
        <f>IF($B$20:$B$499&lt;&gt;"",$K$7,"")</f>
        <v>24114.8980934895</v>
      </c>
      <c r="F140" s="610">
        <f>IF(AND($B$20:$B$499&lt;&gt;"",$E$20:$E$499+$E$12&lt;$D$20:$D$499),$E$12,IF(AND($B$20:$B$499&lt;&gt;"",$D$20:$D$499-$E$20:$E$499&gt;0),$D$20:$D$499-$E$20:$E$499,IF($B$20:$B$499&lt;&gt;"",0,"")))</f>
        <v>0</v>
      </c>
      <c r="G140" s="610">
        <f>IF(AND($B$20:$B$499&lt;&gt;"",$E$20:$E$499+$F$20:$F$499&lt;$D$20:$D$499),$E$20:$E$499+$F$20:$F$499,IF($B$20:$B$499&lt;&gt;"",$D$20:$D$499,""))</f>
        <v>24114.8980934895</v>
      </c>
      <c r="H140" s="610">
        <f>IF($B$20:$B$499&lt;&gt;"",$G$20:$G$499-$I$20:$I$499,"")</f>
        <v>11999.4832826716</v>
      </c>
      <c r="I140" s="610">
        <f>IF($B$20:$B$499&lt;&gt;"",$D$20:$D$499*$E$8/$E$10,"")</f>
        <v>12115.4148108179</v>
      </c>
      <c r="J140" s="610">
        <f>IF(AND($B$20:$B$499&lt;&gt;"",$E$20:$E$499+$F$20:$F$499&lt;$D$20:$D$499),$D$20:$D$499-$H$20:$H$499,IF($B$20:$B$499&lt;&gt;"",0,""))</f>
        <v>2064928.7700004</v>
      </c>
      <c r="K140" s="610">
        <f>SUM($I$20:$I140)</f>
        <v>1872431.43931265</v>
      </c>
      <c r="L140" s="371"/>
      <c r="M140" s="371"/>
      <c r="N140" s="6"/>
      <c r="O140" s="6"/>
      <c r="P140" s="6"/>
      <c r="Q140" s="6"/>
      <c r="R140" s="6"/>
      <c r="S140" s="6"/>
      <c r="T140" s="6"/>
      <c r="U140" s="7"/>
    </row>
    <row r="141" ht="13.75" customHeight="1">
      <c r="A141" s="5"/>
      <c r="B141" s="608">
        <v>122</v>
      </c>
      <c r="C141" s="609">
        <f>IF($B$20:$B$499&lt;&gt;"",DATE(YEAR($E$11),MONTH($E$11)+($B$20:$B$499)*12/$E$10,DAY($E$11)),"")</f>
        <v>48976</v>
      </c>
      <c r="D141" s="610">
        <f>IF($B$20:$B$499&lt;&gt;"",J140,"")</f>
        <v>2064928.7700004</v>
      </c>
      <c r="E141" s="610">
        <f>IF($B$20:$B$499&lt;&gt;"",$K$7,"")</f>
        <v>24114.8980934895</v>
      </c>
      <c r="F141" s="610">
        <f>IF(AND($B$20:$B$499&lt;&gt;"",$E$20:$E$499+$E$12&lt;$D$20:$D$499),$E$12,IF(AND($B$20:$B$499&lt;&gt;"",$D$20:$D$499-$E$20:$E$499&gt;0),$D$20:$D$499-$E$20:$E$499,IF($B$20:$B$499&lt;&gt;"",0,"")))</f>
        <v>0</v>
      </c>
      <c r="G141" s="610">
        <f>IF(AND($B$20:$B$499&lt;&gt;"",$E$20:$E$499+$F$20:$F$499&lt;$D$20:$D$499),$E$20:$E$499+$F$20:$F$499,IF($B$20:$B$499&lt;&gt;"",$D$20:$D$499,""))</f>
        <v>24114.8980934895</v>
      </c>
      <c r="H141" s="610">
        <f>IF($B$20:$B$499&lt;&gt;"",$G$20:$G$499-$I$20:$I$499,"")</f>
        <v>12069.4802684872</v>
      </c>
      <c r="I141" s="610">
        <f>IF($B$20:$B$499&lt;&gt;"",$D$20:$D$499*$E$8/$E$10,"")</f>
        <v>12045.4178250023</v>
      </c>
      <c r="J141" s="610">
        <f>IF(AND($B$20:$B$499&lt;&gt;"",$E$20:$E$499+$F$20:$F$499&lt;$D$20:$D$499),$D$20:$D$499-$H$20:$H$499,IF($B$20:$B$499&lt;&gt;"",0,""))</f>
        <v>2052859.28973191</v>
      </c>
      <c r="K141" s="610">
        <f>SUM($I$20:$I141)</f>
        <v>1884476.85713766</v>
      </c>
      <c r="L141" s="371"/>
      <c r="M141" s="371"/>
      <c r="N141" s="6"/>
      <c r="O141" s="6"/>
      <c r="P141" s="6"/>
      <c r="Q141" s="6"/>
      <c r="R141" s="6"/>
      <c r="S141" s="6"/>
      <c r="T141" s="6"/>
      <c r="U141" s="7"/>
    </row>
    <row r="142" ht="13.75" customHeight="1">
      <c r="A142" s="5"/>
      <c r="B142" s="608">
        <v>123</v>
      </c>
      <c r="C142" s="609">
        <f>IF($B$20:$B$499&lt;&gt;"",DATE(YEAR($E$11),MONTH($E$11)+($B$20:$B$499)*12/$E$10,DAY($E$11)),"")</f>
        <v>49004</v>
      </c>
      <c r="D142" s="610">
        <f>IF($B$20:$B$499&lt;&gt;"",J141,"")</f>
        <v>2052859.28973191</v>
      </c>
      <c r="E142" s="610">
        <f>IF($B$20:$B$499&lt;&gt;"",$K$7,"")</f>
        <v>24114.8980934895</v>
      </c>
      <c r="F142" s="610">
        <f>IF(AND($B$20:$B$499&lt;&gt;"",$E$20:$E$499+$E$12&lt;$D$20:$D$499),$E$12,IF(AND($B$20:$B$499&lt;&gt;"",$D$20:$D$499-$E$20:$E$499&gt;0),$D$20:$D$499-$E$20:$E$499,IF($B$20:$B$499&lt;&gt;"",0,"")))</f>
        <v>0</v>
      </c>
      <c r="G142" s="610">
        <f>IF(AND($B$20:$B$499&lt;&gt;"",$E$20:$E$499+$F$20:$F$499&lt;$D$20:$D$499),$E$20:$E$499+$F$20:$F$499,IF($B$20:$B$499&lt;&gt;"",$D$20:$D$499,""))</f>
        <v>24114.8980934895</v>
      </c>
      <c r="H142" s="610">
        <f>IF($B$20:$B$499&lt;&gt;"",$G$20:$G$499-$I$20:$I$499,"")</f>
        <v>12139.8855700534</v>
      </c>
      <c r="I142" s="610">
        <f>IF($B$20:$B$499&lt;&gt;"",$D$20:$D$499*$E$8/$E$10,"")</f>
        <v>11975.0125234361</v>
      </c>
      <c r="J142" s="610">
        <f>IF(AND($B$20:$B$499&lt;&gt;"",$E$20:$E$499+$F$20:$F$499&lt;$D$20:$D$499),$D$20:$D$499-$H$20:$H$499,IF($B$20:$B$499&lt;&gt;"",0,""))</f>
        <v>2040719.40416186</v>
      </c>
      <c r="K142" s="610">
        <f>SUM($I$20:$I142)</f>
        <v>1896451.86966109</v>
      </c>
      <c r="L142" s="371"/>
      <c r="M142" s="371"/>
      <c r="N142" s="6"/>
      <c r="O142" s="6"/>
      <c r="P142" s="6"/>
      <c r="Q142" s="6"/>
      <c r="R142" s="6"/>
      <c r="S142" s="6"/>
      <c r="T142" s="6"/>
      <c r="U142" s="7"/>
    </row>
    <row r="143" ht="13.75" customHeight="1">
      <c r="A143" s="5"/>
      <c r="B143" s="608">
        <v>124</v>
      </c>
      <c r="C143" s="609">
        <f>IF($B$20:$B$499&lt;&gt;"",DATE(YEAR($E$11),MONTH($E$11)+($B$20:$B$499)*12/$E$10,DAY($E$11)),"")</f>
        <v>49035</v>
      </c>
      <c r="D143" s="610">
        <f>IF($B$20:$B$499&lt;&gt;"",J142,"")</f>
        <v>2040719.40416186</v>
      </c>
      <c r="E143" s="610">
        <f>IF($B$20:$B$499&lt;&gt;"",$K$7,"")</f>
        <v>24114.8980934895</v>
      </c>
      <c r="F143" s="610">
        <f>IF(AND($B$20:$B$499&lt;&gt;"",$E$20:$E$499+$E$12&lt;$D$20:$D$499),$E$12,IF(AND($B$20:$B$499&lt;&gt;"",$D$20:$D$499-$E$20:$E$499&gt;0),$D$20:$D$499-$E$20:$E$499,IF($B$20:$B$499&lt;&gt;"",0,"")))</f>
        <v>0</v>
      </c>
      <c r="G143" s="610">
        <f>IF(AND($B$20:$B$499&lt;&gt;"",$E$20:$E$499+$F$20:$F$499&lt;$D$20:$D$499),$E$20:$E$499+$F$20:$F$499,IF($B$20:$B$499&lt;&gt;"",$D$20:$D$499,""))</f>
        <v>24114.8980934895</v>
      </c>
      <c r="H143" s="610">
        <f>IF($B$20:$B$499&lt;&gt;"",$G$20:$G$499-$I$20:$I$499,"")</f>
        <v>12210.701569212</v>
      </c>
      <c r="I143" s="610">
        <f>IF($B$20:$B$499&lt;&gt;"",$D$20:$D$499*$E$8/$E$10,"")</f>
        <v>11904.1965242775</v>
      </c>
      <c r="J143" s="610">
        <f>IF(AND($B$20:$B$499&lt;&gt;"",$E$20:$E$499+$F$20:$F$499&lt;$D$20:$D$499),$D$20:$D$499-$H$20:$H$499,IF($B$20:$B$499&lt;&gt;"",0,""))</f>
        <v>2028508.70259265</v>
      </c>
      <c r="K143" s="610">
        <f>SUM($I$20:$I143)</f>
        <v>1908356.06618537</v>
      </c>
      <c r="L143" s="371"/>
      <c r="M143" s="371"/>
      <c r="N143" s="6"/>
      <c r="O143" s="6"/>
      <c r="P143" s="6"/>
      <c r="Q143" s="6"/>
      <c r="R143" s="6"/>
      <c r="S143" s="6"/>
      <c r="T143" s="6"/>
      <c r="U143" s="7"/>
    </row>
    <row r="144" ht="13.75" customHeight="1">
      <c r="A144" s="5"/>
      <c r="B144" s="608">
        <v>125</v>
      </c>
      <c r="C144" s="609">
        <f>IF($B$20:$B$499&lt;&gt;"",DATE(YEAR($E$11),MONTH($E$11)+($B$20:$B$499)*12/$E$10,DAY($E$11)),"")</f>
        <v>49065</v>
      </c>
      <c r="D144" s="610">
        <f>IF($B$20:$B$499&lt;&gt;"",J143,"")</f>
        <v>2028508.70259265</v>
      </c>
      <c r="E144" s="610">
        <f>IF($B$20:$B$499&lt;&gt;"",$K$7,"")</f>
        <v>24114.8980934895</v>
      </c>
      <c r="F144" s="610">
        <f>IF(AND($B$20:$B$499&lt;&gt;"",$E$20:$E$499+$E$12&lt;$D$20:$D$499),$E$12,IF(AND($B$20:$B$499&lt;&gt;"",$D$20:$D$499-$E$20:$E$499&gt;0),$D$20:$D$499-$E$20:$E$499,IF($B$20:$B$499&lt;&gt;"",0,"")))</f>
        <v>0</v>
      </c>
      <c r="G144" s="610">
        <f>IF(AND($B$20:$B$499&lt;&gt;"",$E$20:$E$499+$F$20:$F$499&lt;$D$20:$D$499),$E$20:$E$499+$F$20:$F$499,IF($B$20:$B$499&lt;&gt;"",$D$20:$D$499,""))</f>
        <v>24114.8980934895</v>
      </c>
      <c r="H144" s="610">
        <f>IF($B$20:$B$499&lt;&gt;"",$G$20:$G$499-$I$20:$I$499,"")</f>
        <v>12281.930661699</v>
      </c>
      <c r="I144" s="610">
        <f>IF($B$20:$B$499&lt;&gt;"",$D$20:$D$499*$E$8/$E$10,"")</f>
        <v>11832.9674317905</v>
      </c>
      <c r="J144" s="610">
        <f>IF(AND($B$20:$B$499&lt;&gt;"",$E$20:$E$499+$F$20:$F$499&lt;$D$20:$D$499),$D$20:$D$499-$H$20:$H$499,IF($B$20:$B$499&lt;&gt;"",0,""))</f>
        <v>2016226.77193095</v>
      </c>
      <c r="K144" s="610">
        <f>SUM($I$20:$I144)</f>
        <v>1920189.03361716</v>
      </c>
      <c r="L144" s="371"/>
      <c r="M144" s="371"/>
      <c r="N144" s="6"/>
      <c r="O144" s="6"/>
      <c r="P144" s="6"/>
      <c r="Q144" s="6"/>
      <c r="R144" s="6"/>
      <c r="S144" s="6"/>
      <c r="T144" s="6"/>
      <c r="U144" s="7"/>
    </row>
    <row r="145" ht="13.75" customHeight="1">
      <c r="A145" s="5"/>
      <c r="B145" s="608">
        <v>126</v>
      </c>
      <c r="C145" s="609">
        <f>IF($B$20:$B$499&lt;&gt;"",DATE(YEAR($E$11),MONTH($E$11)+($B$20:$B$499)*12/$E$10,DAY($E$11)),"")</f>
        <v>49096</v>
      </c>
      <c r="D145" s="610">
        <f>IF($B$20:$B$499&lt;&gt;"",J144,"")</f>
        <v>2016226.77193095</v>
      </c>
      <c r="E145" s="610">
        <f>IF($B$20:$B$499&lt;&gt;"",$K$7,"")</f>
        <v>24114.8980934895</v>
      </c>
      <c r="F145" s="610">
        <f>IF(AND($B$20:$B$499&lt;&gt;"",$E$20:$E$499+$E$12&lt;$D$20:$D$499),$E$12,IF(AND($B$20:$B$499&lt;&gt;"",$D$20:$D$499-$E$20:$E$499&gt;0),$D$20:$D$499-$E$20:$E$499,IF($B$20:$B$499&lt;&gt;"",0,"")))</f>
        <v>0</v>
      </c>
      <c r="G145" s="610">
        <f>IF(AND($B$20:$B$499&lt;&gt;"",$E$20:$E$499+$F$20:$F$499&lt;$D$20:$D$499),$E$20:$E$499+$F$20:$F$499,IF($B$20:$B$499&lt;&gt;"",$D$20:$D$499,""))</f>
        <v>24114.8980934895</v>
      </c>
      <c r="H145" s="610">
        <f>IF($B$20:$B$499&lt;&gt;"",$G$20:$G$499-$I$20:$I$499,"")</f>
        <v>12353.5752572256</v>
      </c>
      <c r="I145" s="610">
        <f>IF($B$20:$B$499&lt;&gt;"",$D$20:$D$499*$E$8/$E$10,"")</f>
        <v>11761.3228362639</v>
      </c>
      <c r="J145" s="610">
        <f>IF(AND($B$20:$B$499&lt;&gt;"",$E$20:$E$499+$F$20:$F$499&lt;$D$20:$D$499),$D$20:$D$499-$H$20:$H$499,IF($B$20:$B$499&lt;&gt;"",0,""))</f>
        <v>2003873.19667372</v>
      </c>
      <c r="K145" s="610">
        <f>SUM($I$20:$I145)</f>
        <v>1931950.35645342</v>
      </c>
      <c r="L145" s="371"/>
      <c r="M145" s="371"/>
      <c r="N145" s="6"/>
      <c r="O145" s="6"/>
      <c r="P145" s="6"/>
      <c r="Q145" s="6"/>
      <c r="R145" s="6"/>
      <c r="S145" s="6"/>
      <c r="T145" s="6"/>
      <c r="U145" s="7"/>
    </row>
    <row r="146" ht="13.75" customHeight="1">
      <c r="A146" s="5"/>
      <c r="B146" s="608">
        <v>127</v>
      </c>
      <c r="C146" s="609">
        <f>IF($B$20:$B$499&lt;&gt;"",DATE(YEAR($E$11),MONTH($E$11)+($B$20:$B$499)*12/$E$10,DAY($E$11)),"")</f>
        <v>49126</v>
      </c>
      <c r="D146" s="610">
        <f>IF($B$20:$B$499&lt;&gt;"",J145,"")</f>
        <v>2003873.19667372</v>
      </c>
      <c r="E146" s="610">
        <f>IF($B$20:$B$499&lt;&gt;"",$K$7,"")</f>
        <v>24114.8980934895</v>
      </c>
      <c r="F146" s="610">
        <f>IF(AND($B$20:$B$499&lt;&gt;"",$E$20:$E$499+$E$12&lt;$D$20:$D$499),$E$12,IF(AND($B$20:$B$499&lt;&gt;"",$D$20:$D$499-$E$20:$E$499&gt;0),$D$20:$D$499-$E$20:$E$499,IF($B$20:$B$499&lt;&gt;"",0,"")))</f>
        <v>0</v>
      </c>
      <c r="G146" s="610">
        <f>IF(AND($B$20:$B$499&lt;&gt;"",$E$20:$E$499+$F$20:$F$499&lt;$D$20:$D$499),$E$20:$E$499+$F$20:$F$499,IF($B$20:$B$499&lt;&gt;"",$D$20:$D$499,""))</f>
        <v>24114.8980934895</v>
      </c>
      <c r="H146" s="610">
        <f>IF($B$20:$B$499&lt;&gt;"",$G$20:$G$499-$I$20:$I$499,"")</f>
        <v>12425.6377795595</v>
      </c>
      <c r="I146" s="610">
        <f>IF($B$20:$B$499&lt;&gt;"",$D$20:$D$499*$E$8/$E$10,"")</f>
        <v>11689.26031393</v>
      </c>
      <c r="J146" s="610">
        <f>IF(AND($B$20:$B$499&lt;&gt;"",$E$20:$E$499+$F$20:$F$499&lt;$D$20:$D$499),$D$20:$D$499-$H$20:$H$499,IF($B$20:$B$499&lt;&gt;"",0,""))</f>
        <v>1991447.55889416</v>
      </c>
      <c r="K146" s="610">
        <f>SUM($I$20:$I146)</f>
        <v>1943639.61676735</v>
      </c>
      <c r="L146" s="371"/>
      <c r="M146" s="371"/>
      <c r="N146" s="6"/>
      <c r="O146" s="6"/>
      <c r="P146" s="6"/>
      <c r="Q146" s="6"/>
      <c r="R146" s="6"/>
      <c r="S146" s="6"/>
      <c r="T146" s="6"/>
      <c r="U146" s="7"/>
    </row>
    <row r="147" ht="13.75" customHeight="1">
      <c r="A147" s="5"/>
      <c r="B147" s="608">
        <v>128</v>
      </c>
      <c r="C147" s="609">
        <f>IF($B$20:$B$499&lt;&gt;"",DATE(YEAR($E$11),MONTH($E$11)+($B$20:$B$499)*12/$E$10,DAY($E$11)),"")</f>
        <v>49157</v>
      </c>
      <c r="D147" s="610">
        <f>IF($B$20:$B$499&lt;&gt;"",J146,"")</f>
        <v>1991447.55889416</v>
      </c>
      <c r="E147" s="610">
        <f>IF($B$20:$B$499&lt;&gt;"",$K$7,"")</f>
        <v>24114.8980934895</v>
      </c>
      <c r="F147" s="610">
        <f>IF(AND($B$20:$B$499&lt;&gt;"",$E$20:$E$499+$E$12&lt;$D$20:$D$499),$E$12,IF(AND($B$20:$B$499&lt;&gt;"",$D$20:$D$499-$E$20:$E$499&gt;0),$D$20:$D$499-$E$20:$E$499,IF($B$20:$B$499&lt;&gt;"",0,"")))</f>
        <v>0</v>
      </c>
      <c r="G147" s="610">
        <f>IF(AND($B$20:$B$499&lt;&gt;"",$E$20:$E$499+$F$20:$F$499&lt;$D$20:$D$499),$E$20:$E$499+$F$20:$F$499,IF($B$20:$B$499&lt;&gt;"",$D$20:$D$499,""))</f>
        <v>24114.8980934895</v>
      </c>
      <c r="H147" s="610">
        <f>IF($B$20:$B$499&lt;&gt;"",$G$20:$G$499-$I$20:$I$499,"")</f>
        <v>12498.1206666069</v>
      </c>
      <c r="I147" s="610">
        <f>IF($B$20:$B$499&lt;&gt;"",$D$20:$D$499*$E$8/$E$10,"")</f>
        <v>11616.7774268826</v>
      </c>
      <c r="J147" s="610">
        <f>IF(AND($B$20:$B$499&lt;&gt;"",$E$20:$E$499+$F$20:$F$499&lt;$D$20:$D$499),$D$20:$D$499-$H$20:$H$499,IF($B$20:$B$499&lt;&gt;"",0,""))</f>
        <v>1978949.43822755</v>
      </c>
      <c r="K147" s="610">
        <f>SUM($I$20:$I147)</f>
        <v>1955256.39419424</v>
      </c>
      <c r="L147" s="371"/>
      <c r="M147" s="371"/>
      <c r="N147" s="6"/>
      <c r="O147" s="6"/>
      <c r="P147" s="6"/>
      <c r="Q147" s="6"/>
      <c r="R147" s="6"/>
      <c r="S147" s="6"/>
      <c r="T147" s="6"/>
      <c r="U147" s="7"/>
    </row>
    <row r="148" ht="13.75" customHeight="1">
      <c r="A148" s="5"/>
      <c r="B148" s="608">
        <v>129</v>
      </c>
      <c r="C148" s="609">
        <f>IF($B$20:$B$499&lt;&gt;"",DATE(YEAR($E$11),MONTH($E$11)+($B$20:$B$499)*12/$E$10,DAY($E$11)),"")</f>
        <v>49188</v>
      </c>
      <c r="D148" s="610">
        <f>IF($B$20:$B$499&lt;&gt;"",J147,"")</f>
        <v>1978949.43822755</v>
      </c>
      <c r="E148" s="610">
        <f>IF($B$20:$B$499&lt;&gt;"",$K$7,"")</f>
        <v>24114.8980934895</v>
      </c>
      <c r="F148" s="610">
        <f>IF(AND($B$20:$B$499&lt;&gt;"",$E$20:$E$499+$E$12&lt;$D$20:$D$499),$E$12,IF(AND($B$20:$B$499&lt;&gt;"",$D$20:$D$499-$E$20:$E$499&gt;0),$D$20:$D$499-$E$20:$E$499,IF($B$20:$B$499&lt;&gt;"",0,"")))</f>
        <v>0</v>
      </c>
      <c r="G148" s="610">
        <f>IF(AND($B$20:$B$499&lt;&gt;"",$E$20:$E$499+$F$20:$F$499&lt;$D$20:$D$499),$E$20:$E$499+$F$20:$F$499,IF($B$20:$B$499&lt;&gt;"",$D$20:$D$499,""))</f>
        <v>24114.8980934895</v>
      </c>
      <c r="H148" s="610">
        <f>IF($B$20:$B$499&lt;&gt;"",$G$20:$G$499-$I$20:$I$499,"")</f>
        <v>12571.0263704955</v>
      </c>
      <c r="I148" s="610">
        <f>IF($B$20:$B$499&lt;&gt;"",$D$20:$D$499*$E$8/$E$10,"")</f>
        <v>11543.871722994</v>
      </c>
      <c r="J148" s="610">
        <f>IF(AND($B$20:$B$499&lt;&gt;"",$E$20:$E$499+$F$20:$F$499&lt;$D$20:$D$499),$D$20:$D$499-$H$20:$H$499,IF($B$20:$B$499&lt;&gt;"",0,""))</f>
        <v>1966378.41185705</v>
      </c>
      <c r="K148" s="610">
        <f>SUM($I$20:$I148)</f>
        <v>1966800.26591723</v>
      </c>
      <c r="L148" s="371"/>
      <c r="M148" s="371"/>
      <c r="N148" s="6"/>
      <c r="O148" s="6"/>
      <c r="P148" s="6"/>
      <c r="Q148" s="6"/>
      <c r="R148" s="6"/>
      <c r="S148" s="6"/>
      <c r="T148" s="6"/>
      <c r="U148" s="7"/>
    </row>
    <row r="149" ht="13.75" customHeight="1">
      <c r="A149" s="5"/>
      <c r="B149" s="608">
        <v>130</v>
      </c>
      <c r="C149" s="609">
        <f>IF($B$20:$B$499&lt;&gt;"",DATE(YEAR($E$11),MONTH($E$11)+($B$20:$B$499)*12/$E$10,DAY($E$11)),"")</f>
        <v>49218</v>
      </c>
      <c r="D149" s="610">
        <f>IF($B$20:$B$499&lt;&gt;"",J148,"")</f>
        <v>1966378.41185705</v>
      </c>
      <c r="E149" s="610">
        <f>IF($B$20:$B$499&lt;&gt;"",$K$7,"")</f>
        <v>24114.8980934895</v>
      </c>
      <c r="F149" s="610">
        <f>IF(AND($B$20:$B$499&lt;&gt;"",$E$20:$E$499+$E$12&lt;$D$20:$D$499),$E$12,IF(AND($B$20:$B$499&lt;&gt;"",$D$20:$D$499-$E$20:$E$499&gt;0),$D$20:$D$499-$E$20:$E$499,IF($B$20:$B$499&lt;&gt;"",0,"")))</f>
        <v>0</v>
      </c>
      <c r="G149" s="610">
        <f>IF(AND($B$20:$B$499&lt;&gt;"",$E$20:$E$499+$F$20:$F$499&lt;$D$20:$D$499),$E$20:$E$499+$F$20:$F$499,IF($B$20:$B$499&lt;&gt;"",$D$20:$D$499,""))</f>
        <v>24114.8980934895</v>
      </c>
      <c r="H149" s="610">
        <f>IF($B$20:$B$499&lt;&gt;"",$G$20:$G$499-$I$20:$I$499,"")</f>
        <v>12644.3573576567</v>
      </c>
      <c r="I149" s="610">
        <f>IF($B$20:$B$499&lt;&gt;"",$D$20:$D$499*$E$8/$E$10,"")</f>
        <v>11470.5407358328</v>
      </c>
      <c r="J149" s="610">
        <f>IF(AND($B$20:$B$499&lt;&gt;"",$E$20:$E$499+$F$20:$F$499&lt;$D$20:$D$499),$D$20:$D$499-$H$20:$H$499,IF($B$20:$B$499&lt;&gt;"",0,""))</f>
        <v>1953734.05449939</v>
      </c>
      <c r="K149" s="610">
        <f>SUM($I$20:$I149)</f>
        <v>1978270.80665306</v>
      </c>
      <c r="L149" s="371"/>
      <c r="M149" s="371"/>
      <c r="N149" s="6"/>
      <c r="O149" s="6"/>
      <c r="P149" s="6"/>
      <c r="Q149" s="6"/>
      <c r="R149" s="6"/>
      <c r="S149" s="6"/>
      <c r="T149" s="6"/>
      <c r="U149" s="7"/>
    </row>
    <row r="150" ht="13.75" customHeight="1">
      <c r="A150" s="5"/>
      <c r="B150" s="608">
        <v>131</v>
      </c>
      <c r="C150" s="609">
        <f>IF($B$20:$B$499&lt;&gt;"",DATE(YEAR($E$11),MONTH($E$11)+($B$20:$B$499)*12/$E$10,DAY($E$11)),"")</f>
        <v>49249</v>
      </c>
      <c r="D150" s="610">
        <f>IF($B$20:$B$499&lt;&gt;"",J149,"")</f>
        <v>1953734.05449939</v>
      </c>
      <c r="E150" s="610">
        <f>IF($B$20:$B$499&lt;&gt;"",$K$7,"")</f>
        <v>24114.8980934895</v>
      </c>
      <c r="F150" s="610">
        <f>IF(AND($B$20:$B$499&lt;&gt;"",$E$20:$E$499+$E$12&lt;$D$20:$D$499),$E$12,IF(AND($B$20:$B$499&lt;&gt;"",$D$20:$D$499-$E$20:$E$499&gt;0),$D$20:$D$499-$E$20:$E$499,IF($B$20:$B$499&lt;&gt;"",0,"")))</f>
        <v>0</v>
      </c>
      <c r="G150" s="610">
        <f>IF(AND($B$20:$B$499&lt;&gt;"",$E$20:$E$499+$F$20:$F$499&lt;$D$20:$D$499),$E$20:$E$499+$F$20:$F$499,IF($B$20:$B$499&lt;&gt;"",$D$20:$D$499,""))</f>
        <v>24114.8980934895</v>
      </c>
      <c r="H150" s="610">
        <f>IF($B$20:$B$499&lt;&gt;"",$G$20:$G$499-$I$20:$I$499,"")</f>
        <v>12718.1161089097</v>
      </c>
      <c r="I150" s="610">
        <f>IF($B$20:$B$499&lt;&gt;"",$D$20:$D$499*$E$8/$E$10,"")</f>
        <v>11396.7819845798</v>
      </c>
      <c r="J150" s="610">
        <f>IF(AND($B$20:$B$499&lt;&gt;"",$E$20:$E$499+$F$20:$F$499&lt;$D$20:$D$499),$D$20:$D$499-$H$20:$H$499,IF($B$20:$B$499&lt;&gt;"",0,""))</f>
        <v>1941015.93839048</v>
      </c>
      <c r="K150" s="610">
        <f>SUM($I$20:$I150)</f>
        <v>1989667.58863764</v>
      </c>
      <c r="L150" s="371"/>
      <c r="M150" s="371"/>
      <c r="N150" s="6"/>
      <c r="O150" s="6"/>
      <c r="P150" s="6"/>
      <c r="Q150" s="6"/>
      <c r="R150" s="6"/>
      <c r="S150" s="6"/>
      <c r="T150" s="6"/>
      <c r="U150" s="7"/>
    </row>
    <row r="151" ht="13.75" customHeight="1">
      <c r="A151" s="5"/>
      <c r="B151" s="608">
        <v>132</v>
      </c>
      <c r="C151" s="609">
        <f>IF($B$20:$B$499&lt;&gt;"",DATE(YEAR($E$11),MONTH($E$11)+($B$20:$B$499)*12/$E$10,DAY($E$11)),"")</f>
        <v>49279</v>
      </c>
      <c r="D151" s="610">
        <f>IF($B$20:$B$499&lt;&gt;"",J150,"")</f>
        <v>1941015.93839048</v>
      </c>
      <c r="E151" s="610">
        <f>IF($B$20:$B$499&lt;&gt;"",$K$7,"")</f>
        <v>24114.8980934895</v>
      </c>
      <c r="F151" s="610">
        <f>IF(AND($B$20:$B$499&lt;&gt;"",$E$20:$E$499+$E$12&lt;$D$20:$D$499),$E$12,IF(AND($B$20:$B$499&lt;&gt;"",$D$20:$D$499-$E$20:$E$499&gt;0),$D$20:$D$499-$E$20:$E$499,IF($B$20:$B$499&lt;&gt;"",0,"")))</f>
        <v>0</v>
      </c>
      <c r="G151" s="610">
        <f>IF(AND($B$20:$B$499&lt;&gt;"",$E$20:$E$499+$F$20:$F$499&lt;$D$20:$D$499),$E$20:$E$499+$F$20:$F$499,IF($B$20:$B$499&lt;&gt;"",$D$20:$D$499,""))</f>
        <v>24114.8980934895</v>
      </c>
      <c r="H151" s="610">
        <f>IF($B$20:$B$499&lt;&gt;"",$G$20:$G$499-$I$20:$I$499,"")</f>
        <v>12792.305119545</v>
      </c>
      <c r="I151" s="610">
        <f>IF($B$20:$B$499&lt;&gt;"",$D$20:$D$499*$E$8/$E$10,"")</f>
        <v>11322.5929739445</v>
      </c>
      <c r="J151" s="610">
        <f>IF(AND($B$20:$B$499&lt;&gt;"",$E$20:$E$499+$F$20:$F$499&lt;$D$20:$D$499),$D$20:$D$499-$H$20:$H$499,IF($B$20:$B$499&lt;&gt;"",0,""))</f>
        <v>1928223.63327094</v>
      </c>
      <c r="K151" s="610">
        <f>SUM($I$20:$I151)</f>
        <v>2000990.18161159</v>
      </c>
      <c r="L151" s="371"/>
      <c r="M151" s="371"/>
      <c r="N151" s="6"/>
      <c r="O151" s="6"/>
      <c r="P151" s="6"/>
      <c r="Q151" s="6"/>
      <c r="R151" s="6"/>
      <c r="S151" s="6"/>
      <c r="T151" s="6"/>
      <c r="U151" s="7"/>
    </row>
    <row r="152" ht="13.75" customHeight="1">
      <c r="A152" s="5"/>
      <c r="B152" s="608">
        <v>133</v>
      </c>
      <c r="C152" s="609">
        <f>IF($B$20:$B$499&lt;&gt;"",DATE(YEAR($E$11),MONTH($E$11)+($B$20:$B$499)*12/$E$10,DAY($E$11)),"")</f>
        <v>49310</v>
      </c>
      <c r="D152" s="610">
        <f>IF($B$20:$B$499&lt;&gt;"",J151,"")</f>
        <v>1928223.63327094</v>
      </c>
      <c r="E152" s="610">
        <f>IF($B$20:$B$499&lt;&gt;"",$K$7,"")</f>
        <v>24114.8980934895</v>
      </c>
      <c r="F152" s="610">
        <f>IF(AND($B$20:$B$499&lt;&gt;"",$E$20:$E$499+$E$12&lt;$D$20:$D$499),$E$12,IF(AND($B$20:$B$499&lt;&gt;"",$D$20:$D$499-$E$20:$E$499&gt;0),$D$20:$D$499-$E$20:$E$499,IF($B$20:$B$499&lt;&gt;"",0,"")))</f>
        <v>0</v>
      </c>
      <c r="G152" s="610">
        <f>IF(AND($B$20:$B$499&lt;&gt;"",$E$20:$E$499+$F$20:$F$499&lt;$D$20:$D$499),$E$20:$E$499+$F$20:$F$499,IF($B$20:$B$499&lt;&gt;"",$D$20:$D$499,""))</f>
        <v>24114.8980934895</v>
      </c>
      <c r="H152" s="610">
        <f>IF($B$20:$B$499&lt;&gt;"",$G$20:$G$499-$I$20:$I$499,"")</f>
        <v>12866.926899409</v>
      </c>
      <c r="I152" s="610">
        <f>IF($B$20:$B$499&lt;&gt;"",$D$20:$D$499*$E$8/$E$10,"")</f>
        <v>11247.9711940805</v>
      </c>
      <c r="J152" s="610">
        <f>IF(AND($B$20:$B$499&lt;&gt;"",$E$20:$E$499+$F$20:$F$499&lt;$D$20:$D$499),$D$20:$D$499-$H$20:$H$499,IF($B$20:$B$499&lt;&gt;"",0,""))</f>
        <v>1915356.70637153</v>
      </c>
      <c r="K152" s="610">
        <f>SUM($I$20:$I152)</f>
        <v>2012238.15280567</v>
      </c>
      <c r="L152" s="371"/>
      <c r="M152" s="371"/>
      <c r="N152" s="6"/>
      <c r="O152" s="6"/>
      <c r="P152" s="6"/>
      <c r="Q152" s="6"/>
      <c r="R152" s="6"/>
      <c r="S152" s="6"/>
      <c r="T152" s="6"/>
      <c r="U152" s="7"/>
    </row>
    <row r="153" ht="13.75" customHeight="1">
      <c r="A153" s="5"/>
      <c r="B153" s="608">
        <v>134</v>
      </c>
      <c r="C153" s="609">
        <f>IF($B$20:$B$499&lt;&gt;"",DATE(YEAR($E$11),MONTH($E$11)+($B$20:$B$499)*12/$E$10,DAY($E$11)),"")</f>
        <v>49341</v>
      </c>
      <c r="D153" s="610">
        <f>IF($B$20:$B$499&lt;&gt;"",J152,"")</f>
        <v>1915356.70637153</v>
      </c>
      <c r="E153" s="610">
        <f>IF($B$20:$B$499&lt;&gt;"",$K$7,"")</f>
        <v>24114.8980934895</v>
      </c>
      <c r="F153" s="610">
        <f>IF(AND($B$20:$B$499&lt;&gt;"",$E$20:$E$499+$E$12&lt;$D$20:$D$499),$E$12,IF(AND($B$20:$B$499&lt;&gt;"",$D$20:$D$499-$E$20:$E$499&gt;0),$D$20:$D$499-$E$20:$E$499,IF($B$20:$B$499&lt;&gt;"",0,"")))</f>
        <v>0</v>
      </c>
      <c r="G153" s="610">
        <f>IF(AND($B$20:$B$499&lt;&gt;"",$E$20:$E$499+$F$20:$F$499&lt;$D$20:$D$499),$E$20:$E$499+$F$20:$F$499,IF($B$20:$B$499&lt;&gt;"",$D$20:$D$499,""))</f>
        <v>24114.8980934895</v>
      </c>
      <c r="H153" s="610">
        <f>IF($B$20:$B$499&lt;&gt;"",$G$20:$G$499-$I$20:$I$499,"")</f>
        <v>12941.9839729889</v>
      </c>
      <c r="I153" s="610">
        <f>IF($B$20:$B$499&lt;&gt;"",$D$20:$D$499*$E$8/$E$10,"")</f>
        <v>11172.9141205006</v>
      </c>
      <c r="J153" s="610">
        <f>IF(AND($B$20:$B$499&lt;&gt;"",$E$20:$E$499+$F$20:$F$499&lt;$D$20:$D$499),$D$20:$D$499-$H$20:$H$499,IF($B$20:$B$499&lt;&gt;"",0,""))</f>
        <v>1902414.72239854</v>
      </c>
      <c r="K153" s="610">
        <f>SUM($I$20:$I153)</f>
        <v>2023411.06692617</v>
      </c>
      <c r="L153" s="371"/>
      <c r="M153" s="371"/>
      <c r="N153" s="6"/>
      <c r="O153" s="6"/>
      <c r="P153" s="6"/>
      <c r="Q153" s="6"/>
      <c r="R153" s="6"/>
      <c r="S153" s="6"/>
      <c r="T153" s="6"/>
      <c r="U153" s="7"/>
    </row>
    <row r="154" ht="13.75" customHeight="1">
      <c r="A154" s="5"/>
      <c r="B154" s="608">
        <v>135</v>
      </c>
      <c r="C154" s="609">
        <f>IF($B$20:$B$499&lt;&gt;"",DATE(YEAR($E$11),MONTH($E$11)+($B$20:$B$499)*12/$E$10,DAY($E$11)),"")</f>
        <v>49369</v>
      </c>
      <c r="D154" s="610">
        <f>IF($B$20:$B$499&lt;&gt;"",J153,"")</f>
        <v>1902414.72239854</v>
      </c>
      <c r="E154" s="610">
        <f>IF($B$20:$B$499&lt;&gt;"",$K$7,"")</f>
        <v>24114.8980934895</v>
      </c>
      <c r="F154" s="610">
        <f>IF(AND($B$20:$B$499&lt;&gt;"",$E$20:$E$499+$E$12&lt;$D$20:$D$499),$E$12,IF(AND($B$20:$B$499&lt;&gt;"",$D$20:$D$499-$E$20:$E$499&gt;0),$D$20:$D$499-$E$20:$E$499,IF($B$20:$B$499&lt;&gt;"",0,"")))</f>
        <v>0</v>
      </c>
      <c r="G154" s="610">
        <f>IF(AND($B$20:$B$499&lt;&gt;"",$E$20:$E$499+$F$20:$F$499&lt;$D$20:$D$499),$E$20:$E$499+$F$20:$F$499,IF($B$20:$B$499&lt;&gt;"",$D$20:$D$499,""))</f>
        <v>24114.8980934895</v>
      </c>
      <c r="H154" s="610">
        <f>IF($B$20:$B$499&lt;&gt;"",$G$20:$G$499-$I$20:$I$499,"")</f>
        <v>13017.478879498</v>
      </c>
      <c r="I154" s="610">
        <f>IF($B$20:$B$499&lt;&gt;"",$D$20:$D$499*$E$8/$E$10,"")</f>
        <v>11097.4192139915</v>
      </c>
      <c r="J154" s="610">
        <f>IF(AND($B$20:$B$499&lt;&gt;"",$E$20:$E$499+$F$20:$F$499&lt;$D$20:$D$499),$D$20:$D$499-$H$20:$H$499,IF($B$20:$B$499&lt;&gt;"",0,""))</f>
        <v>1889397.24351904</v>
      </c>
      <c r="K154" s="610">
        <f>SUM($I$20:$I154)</f>
        <v>2034508.48614016</v>
      </c>
      <c r="L154" s="371"/>
      <c r="M154" s="371"/>
      <c r="N154" s="6"/>
      <c r="O154" s="6"/>
      <c r="P154" s="6"/>
      <c r="Q154" s="6"/>
      <c r="R154" s="6"/>
      <c r="S154" s="6"/>
      <c r="T154" s="6"/>
      <c r="U154" s="7"/>
    </row>
    <row r="155" ht="13.75" customHeight="1">
      <c r="A155" s="5"/>
      <c r="B155" s="608">
        <v>136</v>
      </c>
      <c r="C155" s="609">
        <f>IF($B$20:$B$499&lt;&gt;"",DATE(YEAR($E$11),MONTH($E$11)+($B$20:$B$499)*12/$E$10,DAY($E$11)),"")</f>
        <v>49400</v>
      </c>
      <c r="D155" s="610">
        <f>IF($B$20:$B$499&lt;&gt;"",J154,"")</f>
        <v>1889397.24351904</v>
      </c>
      <c r="E155" s="610">
        <f>IF($B$20:$B$499&lt;&gt;"",$K$7,"")</f>
        <v>24114.8980934895</v>
      </c>
      <c r="F155" s="610">
        <f>IF(AND($B$20:$B$499&lt;&gt;"",$E$20:$E$499+$E$12&lt;$D$20:$D$499),$E$12,IF(AND($B$20:$B$499&lt;&gt;"",$D$20:$D$499-$E$20:$E$499&gt;0),$D$20:$D$499-$E$20:$E$499,IF($B$20:$B$499&lt;&gt;"",0,"")))</f>
        <v>0</v>
      </c>
      <c r="G155" s="610">
        <f>IF(AND($B$20:$B$499&lt;&gt;"",$E$20:$E$499+$F$20:$F$499&lt;$D$20:$D$499),$E$20:$E$499+$F$20:$F$499,IF($B$20:$B$499&lt;&gt;"",$D$20:$D$499,""))</f>
        <v>24114.8980934895</v>
      </c>
      <c r="H155" s="610">
        <f>IF($B$20:$B$499&lt;&gt;"",$G$20:$G$499-$I$20:$I$499,"")</f>
        <v>13093.4141729618</v>
      </c>
      <c r="I155" s="610">
        <f>IF($B$20:$B$499&lt;&gt;"",$D$20:$D$499*$E$8/$E$10,"")</f>
        <v>11021.4839205277</v>
      </c>
      <c r="J155" s="610">
        <f>IF(AND($B$20:$B$499&lt;&gt;"",$E$20:$E$499+$F$20:$F$499&lt;$D$20:$D$499),$D$20:$D$499-$H$20:$H$499,IF($B$20:$B$499&lt;&gt;"",0,""))</f>
        <v>1876303.82934608</v>
      </c>
      <c r="K155" s="610">
        <f>SUM($I$20:$I155)</f>
        <v>2045529.97006069</v>
      </c>
      <c r="L155" s="371"/>
      <c r="M155" s="371"/>
      <c r="N155" s="6"/>
      <c r="O155" s="6"/>
      <c r="P155" s="6"/>
      <c r="Q155" s="6"/>
      <c r="R155" s="6"/>
      <c r="S155" s="6"/>
      <c r="T155" s="6"/>
      <c r="U155" s="7"/>
    </row>
    <row r="156" ht="13.75" customHeight="1">
      <c r="A156" s="5"/>
      <c r="B156" s="608">
        <v>137</v>
      </c>
      <c r="C156" s="609">
        <f>IF($B$20:$B$499&lt;&gt;"",DATE(YEAR($E$11),MONTH($E$11)+($B$20:$B$499)*12/$E$10,DAY($E$11)),"")</f>
        <v>49430</v>
      </c>
      <c r="D156" s="610">
        <f>IF($B$20:$B$499&lt;&gt;"",J155,"")</f>
        <v>1876303.82934608</v>
      </c>
      <c r="E156" s="610">
        <f>IF($B$20:$B$499&lt;&gt;"",$K$7,"")</f>
        <v>24114.8980934895</v>
      </c>
      <c r="F156" s="610">
        <f>IF(AND($B$20:$B$499&lt;&gt;"",$E$20:$E$499+$E$12&lt;$D$20:$D$499),$E$12,IF(AND($B$20:$B$499&lt;&gt;"",$D$20:$D$499-$E$20:$E$499&gt;0),$D$20:$D$499-$E$20:$E$499,IF($B$20:$B$499&lt;&gt;"",0,"")))</f>
        <v>0</v>
      </c>
      <c r="G156" s="610">
        <f>IF(AND($B$20:$B$499&lt;&gt;"",$E$20:$E$499+$F$20:$F$499&lt;$D$20:$D$499),$E$20:$E$499+$F$20:$F$499,IF($B$20:$B$499&lt;&gt;"",$D$20:$D$499,""))</f>
        <v>24114.8980934895</v>
      </c>
      <c r="H156" s="610">
        <f>IF($B$20:$B$499&lt;&gt;"",$G$20:$G$499-$I$20:$I$499,"")</f>
        <v>13169.792422304</v>
      </c>
      <c r="I156" s="610">
        <f>IF($B$20:$B$499&lt;&gt;"",$D$20:$D$499*$E$8/$E$10,"")</f>
        <v>10945.1056711855</v>
      </c>
      <c r="J156" s="610">
        <f>IF(AND($B$20:$B$499&lt;&gt;"",$E$20:$E$499+$F$20:$F$499&lt;$D$20:$D$499),$D$20:$D$499-$H$20:$H$499,IF($B$20:$B$499&lt;&gt;"",0,""))</f>
        <v>1863134.03692378</v>
      </c>
      <c r="K156" s="610">
        <f>SUM($I$20:$I156)</f>
        <v>2056475.07573187</v>
      </c>
      <c r="L156" s="371"/>
      <c r="M156" s="371"/>
      <c r="N156" s="6"/>
      <c r="O156" s="6"/>
      <c r="P156" s="6"/>
      <c r="Q156" s="6"/>
      <c r="R156" s="6"/>
      <c r="S156" s="6"/>
      <c r="T156" s="6"/>
      <c r="U156" s="7"/>
    </row>
    <row r="157" ht="13.75" customHeight="1">
      <c r="A157" s="5"/>
      <c r="B157" s="608">
        <v>138</v>
      </c>
      <c r="C157" s="609">
        <f>IF($B$20:$B$499&lt;&gt;"",DATE(YEAR($E$11),MONTH($E$11)+($B$20:$B$499)*12/$E$10,DAY($E$11)),"")</f>
        <v>49461</v>
      </c>
      <c r="D157" s="610">
        <f>IF($B$20:$B$499&lt;&gt;"",J156,"")</f>
        <v>1863134.03692378</v>
      </c>
      <c r="E157" s="610">
        <f>IF($B$20:$B$499&lt;&gt;"",$K$7,"")</f>
        <v>24114.8980934895</v>
      </c>
      <c r="F157" s="610">
        <f>IF(AND($B$20:$B$499&lt;&gt;"",$E$20:$E$499+$E$12&lt;$D$20:$D$499),$E$12,IF(AND($B$20:$B$499&lt;&gt;"",$D$20:$D$499-$E$20:$E$499&gt;0),$D$20:$D$499-$E$20:$E$499,IF($B$20:$B$499&lt;&gt;"",0,"")))</f>
        <v>0</v>
      </c>
      <c r="G157" s="610">
        <f>IF(AND($B$20:$B$499&lt;&gt;"",$E$20:$E$499+$F$20:$F$499&lt;$D$20:$D$499),$E$20:$E$499+$F$20:$F$499,IF($B$20:$B$499&lt;&gt;"",$D$20:$D$499,""))</f>
        <v>24114.8980934895</v>
      </c>
      <c r="H157" s="610">
        <f>IF($B$20:$B$499&lt;&gt;"",$G$20:$G$499-$I$20:$I$499,"")</f>
        <v>13246.6162114341</v>
      </c>
      <c r="I157" s="610">
        <f>IF($B$20:$B$499&lt;&gt;"",$D$20:$D$499*$E$8/$E$10,"")</f>
        <v>10868.2818820554</v>
      </c>
      <c r="J157" s="610">
        <f>IF(AND($B$20:$B$499&lt;&gt;"",$E$20:$E$499+$F$20:$F$499&lt;$D$20:$D$499),$D$20:$D$499-$H$20:$H$499,IF($B$20:$B$499&lt;&gt;"",0,""))</f>
        <v>1849887.42071235</v>
      </c>
      <c r="K157" s="610">
        <f>SUM($I$20:$I157)</f>
        <v>2067343.35761393</v>
      </c>
      <c r="L157" s="371"/>
      <c r="M157" s="371"/>
      <c r="N157" s="6"/>
      <c r="O157" s="6"/>
      <c r="P157" s="6"/>
      <c r="Q157" s="6"/>
      <c r="R157" s="6"/>
      <c r="S157" s="6"/>
      <c r="T157" s="6"/>
      <c r="U157" s="7"/>
    </row>
    <row r="158" ht="13.75" customHeight="1">
      <c r="A158" s="5"/>
      <c r="B158" s="608">
        <v>139</v>
      </c>
      <c r="C158" s="609">
        <f>IF($B$20:$B$499&lt;&gt;"",DATE(YEAR($E$11),MONTH($E$11)+($B$20:$B$499)*12/$E$10,DAY($E$11)),"")</f>
        <v>49491</v>
      </c>
      <c r="D158" s="610">
        <f>IF($B$20:$B$499&lt;&gt;"",J157,"")</f>
        <v>1849887.42071235</v>
      </c>
      <c r="E158" s="610">
        <f>IF($B$20:$B$499&lt;&gt;"",$K$7,"")</f>
        <v>24114.8980934895</v>
      </c>
      <c r="F158" s="610">
        <f>IF(AND($B$20:$B$499&lt;&gt;"",$E$20:$E$499+$E$12&lt;$D$20:$D$499),$E$12,IF(AND($B$20:$B$499&lt;&gt;"",$D$20:$D$499-$E$20:$E$499&gt;0),$D$20:$D$499-$E$20:$E$499,IF($B$20:$B$499&lt;&gt;"",0,"")))</f>
        <v>0</v>
      </c>
      <c r="G158" s="610">
        <f>IF(AND($B$20:$B$499&lt;&gt;"",$E$20:$E$499+$F$20:$F$499&lt;$D$20:$D$499),$E$20:$E$499+$F$20:$F$499,IF($B$20:$B$499&lt;&gt;"",$D$20:$D$499,""))</f>
        <v>24114.8980934895</v>
      </c>
      <c r="H158" s="610">
        <f>IF($B$20:$B$499&lt;&gt;"",$G$20:$G$499-$I$20:$I$499,"")</f>
        <v>13323.8881393341</v>
      </c>
      <c r="I158" s="610">
        <f>IF($B$20:$B$499&lt;&gt;"",$D$20:$D$499*$E$8/$E$10,"")</f>
        <v>10791.0099541554</v>
      </c>
      <c r="J158" s="610">
        <f>IF(AND($B$20:$B$499&lt;&gt;"",$E$20:$E$499+$F$20:$F$499&lt;$D$20:$D$499),$D$20:$D$499-$H$20:$H$499,IF($B$20:$B$499&lt;&gt;"",0,""))</f>
        <v>1836563.53257302</v>
      </c>
      <c r="K158" s="610">
        <f>SUM($I$20:$I158)</f>
        <v>2078134.36756808</v>
      </c>
      <c r="L158" s="371"/>
      <c r="M158" s="371"/>
      <c r="N158" s="6"/>
      <c r="O158" s="6"/>
      <c r="P158" s="6"/>
      <c r="Q158" s="6"/>
      <c r="R158" s="6"/>
      <c r="S158" s="6"/>
      <c r="T158" s="6"/>
      <c r="U158" s="7"/>
    </row>
    <row r="159" ht="13.75" customHeight="1">
      <c r="A159" s="5"/>
      <c r="B159" s="608">
        <v>140</v>
      </c>
      <c r="C159" s="609">
        <f>IF($B$20:$B$499&lt;&gt;"",DATE(YEAR($E$11),MONTH($E$11)+($B$20:$B$499)*12/$E$10,DAY($E$11)),"")</f>
        <v>49522</v>
      </c>
      <c r="D159" s="610">
        <f>IF($B$20:$B$499&lt;&gt;"",J158,"")</f>
        <v>1836563.53257302</v>
      </c>
      <c r="E159" s="610">
        <f>IF($B$20:$B$499&lt;&gt;"",$K$7,"")</f>
        <v>24114.8980934895</v>
      </c>
      <c r="F159" s="610">
        <f>IF(AND($B$20:$B$499&lt;&gt;"",$E$20:$E$499+$E$12&lt;$D$20:$D$499),$E$12,IF(AND($B$20:$B$499&lt;&gt;"",$D$20:$D$499-$E$20:$E$499&gt;0),$D$20:$D$499-$E$20:$E$499,IF($B$20:$B$499&lt;&gt;"",0,"")))</f>
        <v>0</v>
      </c>
      <c r="G159" s="610">
        <f>IF(AND($B$20:$B$499&lt;&gt;"",$E$20:$E$499+$F$20:$F$499&lt;$D$20:$D$499),$E$20:$E$499+$F$20:$F$499,IF($B$20:$B$499&lt;&gt;"",$D$20:$D$499,""))</f>
        <v>24114.8980934895</v>
      </c>
      <c r="H159" s="610">
        <f>IF($B$20:$B$499&lt;&gt;"",$G$20:$G$499-$I$20:$I$499,"")</f>
        <v>13401.6108201469</v>
      </c>
      <c r="I159" s="610">
        <f>IF($B$20:$B$499&lt;&gt;"",$D$20:$D$499*$E$8/$E$10,"")</f>
        <v>10713.2872733426</v>
      </c>
      <c r="J159" s="610">
        <f>IF(AND($B$20:$B$499&lt;&gt;"",$E$20:$E$499+$F$20:$F$499&lt;$D$20:$D$499),$D$20:$D$499-$H$20:$H$499,IF($B$20:$B$499&lt;&gt;"",0,""))</f>
        <v>1823161.92175287</v>
      </c>
      <c r="K159" s="610">
        <f>SUM($I$20:$I159)</f>
        <v>2088847.65484143</v>
      </c>
      <c r="L159" s="371"/>
      <c r="M159" s="371"/>
      <c r="N159" s="6"/>
      <c r="O159" s="6"/>
      <c r="P159" s="6"/>
      <c r="Q159" s="6"/>
      <c r="R159" s="6"/>
      <c r="S159" s="6"/>
      <c r="T159" s="6"/>
      <c r="U159" s="7"/>
    </row>
    <row r="160" ht="13.75" customHeight="1">
      <c r="A160" s="5"/>
      <c r="B160" s="608">
        <v>141</v>
      </c>
      <c r="C160" s="609">
        <f>IF($B$20:$B$499&lt;&gt;"",DATE(YEAR($E$11),MONTH($E$11)+($B$20:$B$499)*12/$E$10,DAY($E$11)),"")</f>
        <v>49553</v>
      </c>
      <c r="D160" s="610">
        <f>IF($B$20:$B$499&lt;&gt;"",J159,"")</f>
        <v>1823161.92175287</v>
      </c>
      <c r="E160" s="610">
        <f>IF($B$20:$B$499&lt;&gt;"",$K$7,"")</f>
        <v>24114.8980934895</v>
      </c>
      <c r="F160" s="610">
        <f>IF(AND($B$20:$B$499&lt;&gt;"",$E$20:$E$499+$E$12&lt;$D$20:$D$499),$E$12,IF(AND($B$20:$B$499&lt;&gt;"",$D$20:$D$499-$E$20:$E$499&gt;0),$D$20:$D$499-$E$20:$E$499,IF($B$20:$B$499&lt;&gt;"",0,"")))</f>
        <v>0</v>
      </c>
      <c r="G160" s="610">
        <f>IF(AND($B$20:$B$499&lt;&gt;"",$E$20:$E$499+$F$20:$F$499&lt;$D$20:$D$499),$E$20:$E$499+$F$20:$F$499,IF($B$20:$B$499&lt;&gt;"",$D$20:$D$499,""))</f>
        <v>24114.8980934895</v>
      </c>
      <c r="H160" s="610">
        <f>IF($B$20:$B$499&lt;&gt;"",$G$20:$G$499-$I$20:$I$499,"")</f>
        <v>13479.7868832644</v>
      </c>
      <c r="I160" s="610">
        <f>IF($B$20:$B$499&lt;&gt;"",$D$20:$D$499*$E$8/$E$10,"")</f>
        <v>10635.1112102251</v>
      </c>
      <c r="J160" s="610">
        <f>IF(AND($B$20:$B$499&lt;&gt;"",$E$20:$E$499+$F$20:$F$499&lt;$D$20:$D$499),$D$20:$D$499-$H$20:$H$499,IF($B$20:$B$499&lt;&gt;"",0,""))</f>
        <v>1809682.13486961</v>
      </c>
      <c r="K160" s="610">
        <f>SUM($I$20:$I160)</f>
        <v>2099482.76605165</v>
      </c>
      <c r="L160" s="371"/>
      <c r="M160" s="371"/>
      <c r="N160" s="6"/>
      <c r="O160" s="6"/>
      <c r="P160" s="6"/>
      <c r="Q160" s="6"/>
      <c r="R160" s="6"/>
      <c r="S160" s="6"/>
      <c r="T160" s="6"/>
      <c r="U160" s="7"/>
    </row>
    <row r="161" ht="13.75" customHeight="1">
      <c r="A161" s="5"/>
      <c r="B161" s="608">
        <v>142</v>
      </c>
      <c r="C161" s="609">
        <f>IF($B$20:$B$499&lt;&gt;"",DATE(YEAR($E$11),MONTH($E$11)+($B$20:$B$499)*12/$E$10,DAY($E$11)),"")</f>
        <v>49583</v>
      </c>
      <c r="D161" s="610">
        <f>IF($B$20:$B$499&lt;&gt;"",J160,"")</f>
        <v>1809682.13486961</v>
      </c>
      <c r="E161" s="610">
        <f>IF($B$20:$B$499&lt;&gt;"",$K$7,"")</f>
        <v>24114.8980934895</v>
      </c>
      <c r="F161" s="610">
        <f>IF(AND($B$20:$B$499&lt;&gt;"",$E$20:$E$499+$E$12&lt;$D$20:$D$499),$E$12,IF(AND($B$20:$B$499&lt;&gt;"",$D$20:$D$499-$E$20:$E$499&gt;0),$D$20:$D$499-$E$20:$E$499,IF($B$20:$B$499&lt;&gt;"",0,"")))</f>
        <v>0</v>
      </c>
      <c r="G161" s="610">
        <f>IF(AND($B$20:$B$499&lt;&gt;"",$E$20:$E$499+$F$20:$F$499&lt;$D$20:$D$499),$E$20:$E$499+$F$20:$F$499,IF($B$20:$B$499&lt;&gt;"",$D$20:$D$499,""))</f>
        <v>24114.8980934895</v>
      </c>
      <c r="H161" s="610">
        <f>IF($B$20:$B$499&lt;&gt;"",$G$20:$G$499-$I$20:$I$499,"")</f>
        <v>13558.4189734168</v>
      </c>
      <c r="I161" s="610">
        <f>IF($B$20:$B$499&lt;&gt;"",$D$20:$D$499*$E$8/$E$10,"")</f>
        <v>10556.4791200727</v>
      </c>
      <c r="J161" s="610">
        <f>IF(AND($B$20:$B$499&lt;&gt;"",$E$20:$E$499+$F$20:$F$499&lt;$D$20:$D$499),$D$20:$D$499-$H$20:$H$499,IF($B$20:$B$499&lt;&gt;"",0,""))</f>
        <v>1796123.71589619</v>
      </c>
      <c r="K161" s="610">
        <f>SUM($I$20:$I161)</f>
        <v>2110039.24517173</v>
      </c>
      <c r="L161" s="371"/>
      <c r="M161" s="371"/>
      <c r="N161" s="6"/>
      <c r="O161" s="6"/>
      <c r="P161" s="6"/>
      <c r="Q161" s="6"/>
      <c r="R161" s="6"/>
      <c r="S161" s="6"/>
      <c r="T161" s="6"/>
      <c r="U161" s="7"/>
    </row>
    <row r="162" ht="13.75" customHeight="1">
      <c r="A162" s="5"/>
      <c r="B162" s="608">
        <v>143</v>
      </c>
      <c r="C162" s="609">
        <f>IF($B$20:$B$499&lt;&gt;"",DATE(YEAR($E$11),MONTH($E$11)+($B$20:$B$499)*12/$E$10,DAY($E$11)),"")</f>
        <v>49614</v>
      </c>
      <c r="D162" s="610">
        <f>IF($B$20:$B$499&lt;&gt;"",J161,"")</f>
        <v>1796123.71589619</v>
      </c>
      <c r="E162" s="610">
        <f>IF($B$20:$B$499&lt;&gt;"",$K$7,"")</f>
        <v>24114.8980934895</v>
      </c>
      <c r="F162" s="610">
        <f>IF(AND($B$20:$B$499&lt;&gt;"",$E$20:$E$499+$E$12&lt;$D$20:$D$499),$E$12,IF(AND($B$20:$B$499&lt;&gt;"",$D$20:$D$499-$E$20:$E$499&gt;0),$D$20:$D$499-$E$20:$E$499,IF($B$20:$B$499&lt;&gt;"",0,"")))</f>
        <v>0</v>
      </c>
      <c r="G162" s="610">
        <f>IF(AND($B$20:$B$499&lt;&gt;"",$E$20:$E$499+$F$20:$F$499&lt;$D$20:$D$499),$E$20:$E$499+$F$20:$F$499,IF($B$20:$B$499&lt;&gt;"",$D$20:$D$499,""))</f>
        <v>24114.8980934895</v>
      </c>
      <c r="H162" s="610">
        <f>IF($B$20:$B$499&lt;&gt;"",$G$20:$G$499-$I$20:$I$499,"")</f>
        <v>13637.5097507617</v>
      </c>
      <c r="I162" s="610">
        <f>IF($B$20:$B$499&lt;&gt;"",$D$20:$D$499*$E$8/$E$10,"")</f>
        <v>10477.3883427278</v>
      </c>
      <c r="J162" s="610">
        <f>IF(AND($B$20:$B$499&lt;&gt;"",$E$20:$E$499+$F$20:$F$499&lt;$D$20:$D$499),$D$20:$D$499-$H$20:$H$499,IF($B$20:$B$499&lt;&gt;"",0,""))</f>
        <v>1782486.20614543</v>
      </c>
      <c r="K162" s="610">
        <f>SUM($I$20:$I162)</f>
        <v>2120516.63351445</v>
      </c>
      <c r="L162" s="371"/>
      <c r="M162" s="371"/>
      <c r="N162" s="6"/>
      <c r="O162" s="6"/>
      <c r="P162" s="6"/>
      <c r="Q162" s="6"/>
      <c r="R162" s="6"/>
      <c r="S162" s="6"/>
      <c r="T162" s="6"/>
      <c r="U162" s="7"/>
    </row>
    <row r="163" ht="13.75" customHeight="1">
      <c r="A163" s="5"/>
      <c r="B163" s="608">
        <v>144</v>
      </c>
      <c r="C163" s="609">
        <f>IF($B$20:$B$499&lt;&gt;"",DATE(YEAR($E$11),MONTH($E$11)+($B$20:$B$499)*12/$E$10,DAY($E$11)),"")</f>
        <v>49644</v>
      </c>
      <c r="D163" s="610">
        <f>IF($B$20:$B$499&lt;&gt;"",J162,"")</f>
        <v>1782486.20614543</v>
      </c>
      <c r="E163" s="610">
        <f>IF($B$20:$B$499&lt;&gt;"",$K$7,"")</f>
        <v>24114.8980934895</v>
      </c>
      <c r="F163" s="610">
        <f>IF(AND($B$20:$B$499&lt;&gt;"",$E$20:$E$499+$E$12&lt;$D$20:$D$499),$E$12,IF(AND($B$20:$B$499&lt;&gt;"",$D$20:$D$499-$E$20:$E$499&gt;0),$D$20:$D$499-$E$20:$E$499,IF($B$20:$B$499&lt;&gt;"",0,"")))</f>
        <v>0</v>
      </c>
      <c r="G163" s="610">
        <f>IF(AND($B$20:$B$499&lt;&gt;"",$E$20:$E$499+$F$20:$F$499&lt;$D$20:$D$499),$E$20:$E$499+$F$20:$F$499,IF($B$20:$B$499&lt;&gt;"",$D$20:$D$499,""))</f>
        <v>24114.8980934895</v>
      </c>
      <c r="H163" s="610">
        <f>IF($B$20:$B$499&lt;&gt;"",$G$20:$G$499-$I$20:$I$499,"")</f>
        <v>13717.0618909745</v>
      </c>
      <c r="I163" s="610">
        <f>IF($B$20:$B$499&lt;&gt;"",$D$20:$D$499*$E$8/$E$10,"")</f>
        <v>10397.836202515</v>
      </c>
      <c r="J163" s="610">
        <f>IF(AND($B$20:$B$499&lt;&gt;"",$E$20:$E$499+$F$20:$F$499&lt;$D$20:$D$499),$D$20:$D$499-$H$20:$H$499,IF($B$20:$B$499&lt;&gt;"",0,""))</f>
        <v>1768769.14425446</v>
      </c>
      <c r="K163" s="610">
        <f>SUM($I$20:$I163)</f>
        <v>2130914.46971697</v>
      </c>
      <c r="L163" s="371"/>
      <c r="M163" s="371"/>
      <c r="N163" s="6"/>
      <c r="O163" s="6"/>
      <c r="P163" s="6"/>
      <c r="Q163" s="6"/>
      <c r="R163" s="6"/>
      <c r="S163" s="6"/>
      <c r="T163" s="6"/>
      <c r="U163" s="7"/>
    </row>
    <row r="164" ht="13.75" customHeight="1">
      <c r="A164" s="5"/>
      <c r="B164" s="608">
        <v>145</v>
      </c>
      <c r="C164" s="609">
        <f>IF($B$20:$B$499&lt;&gt;"",DATE(YEAR($E$11),MONTH($E$11)+($B$20:$B$499)*12/$E$10,DAY($E$11)),"")</f>
        <v>49675</v>
      </c>
      <c r="D164" s="610">
        <f>IF($B$20:$B$499&lt;&gt;"",J163,"")</f>
        <v>1768769.14425446</v>
      </c>
      <c r="E164" s="610">
        <f>IF($B$20:$B$499&lt;&gt;"",$K$7,"")</f>
        <v>24114.8980934895</v>
      </c>
      <c r="F164" s="610">
        <f>IF(AND($B$20:$B$499&lt;&gt;"",$E$20:$E$499+$E$12&lt;$D$20:$D$499),$E$12,IF(AND($B$20:$B$499&lt;&gt;"",$D$20:$D$499-$E$20:$E$499&gt;0),$D$20:$D$499-$E$20:$E$499,IF($B$20:$B$499&lt;&gt;"",0,"")))</f>
        <v>0</v>
      </c>
      <c r="G164" s="610">
        <f>IF(AND($B$20:$B$499&lt;&gt;"",$E$20:$E$499+$F$20:$F$499&lt;$D$20:$D$499),$E$20:$E$499+$F$20:$F$499,IF($B$20:$B$499&lt;&gt;"",$D$20:$D$499,""))</f>
        <v>24114.8980934895</v>
      </c>
      <c r="H164" s="610">
        <f>IF($B$20:$B$499&lt;&gt;"",$G$20:$G$499-$I$20:$I$499,"")</f>
        <v>13797.0780853385</v>
      </c>
      <c r="I164" s="610">
        <f>IF($B$20:$B$499&lt;&gt;"",$D$20:$D$499*$E$8/$E$10,"")</f>
        <v>10317.820008151</v>
      </c>
      <c r="J164" s="610">
        <f>IF(AND($B$20:$B$499&lt;&gt;"",$E$20:$E$499+$F$20:$F$499&lt;$D$20:$D$499),$D$20:$D$499-$H$20:$H$499,IF($B$20:$B$499&lt;&gt;"",0,""))</f>
        <v>1754972.06616912</v>
      </c>
      <c r="K164" s="610">
        <f>SUM($I$20:$I164)</f>
        <v>2141232.28972512</v>
      </c>
      <c r="L164" s="371"/>
      <c r="M164" s="371"/>
      <c r="N164" s="6"/>
      <c r="O164" s="6"/>
      <c r="P164" s="6"/>
      <c r="Q164" s="6"/>
      <c r="R164" s="6"/>
      <c r="S164" s="6"/>
      <c r="T164" s="6"/>
      <c r="U164" s="7"/>
    </row>
    <row r="165" ht="13.75" customHeight="1">
      <c r="A165" s="5"/>
      <c r="B165" s="608">
        <v>146</v>
      </c>
      <c r="C165" s="609">
        <f>IF($B$20:$B$499&lt;&gt;"",DATE(YEAR($E$11),MONTH($E$11)+($B$20:$B$499)*12/$E$10,DAY($E$11)),"")</f>
        <v>49706</v>
      </c>
      <c r="D165" s="610">
        <f>IF($B$20:$B$499&lt;&gt;"",J164,"")</f>
        <v>1754972.06616912</v>
      </c>
      <c r="E165" s="610">
        <f>IF($B$20:$B$499&lt;&gt;"",$K$7,"")</f>
        <v>24114.8980934895</v>
      </c>
      <c r="F165" s="610">
        <f>IF(AND($B$20:$B$499&lt;&gt;"",$E$20:$E$499+$E$12&lt;$D$20:$D$499),$E$12,IF(AND($B$20:$B$499&lt;&gt;"",$D$20:$D$499-$E$20:$E$499&gt;0),$D$20:$D$499-$E$20:$E$499,IF($B$20:$B$499&lt;&gt;"",0,"")))</f>
        <v>0</v>
      </c>
      <c r="G165" s="610">
        <f>IF(AND($B$20:$B$499&lt;&gt;"",$E$20:$E$499+$F$20:$F$499&lt;$D$20:$D$499),$E$20:$E$499+$F$20:$F$499,IF($B$20:$B$499&lt;&gt;"",$D$20:$D$499,""))</f>
        <v>24114.8980934895</v>
      </c>
      <c r="H165" s="610">
        <f>IF($B$20:$B$499&lt;&gt;"",$G$20:$G$499-$I$20:$I$499,"")</f>
        <v>13877.5610408363</v>
      </c>
      <c r="I165" s="610">
        <f>IF($B$20:$B$499&lt;&gt;"",$D$20:$D$499*$E$8/$E$10,"")</f>
        <v>10237.3370526532</v>
      </c>
      <c r="J165" s="610">
        <f>IF(AND($B$20:$B$499&lt;&gt;"",$E$20:$E$499+$F$20:$F$499&lt;$D$20:$D$499),$D$20:$D$499-$H$20:$H$499,IF($B$20:$B$499&lt;&gt;"",0,""))</f>
        <v>1741094.50512828</v>
      </c>
      <c r="K165" s="610">
        <f>SUM($I$20:$I165)</f>
        <v>2151469.62677777</v>
      </c>
      <c r="L165" s="371"/>
      <c r="M165" s="371"/>
      <c r="N165" s="6"/>
      <c r="O165" s="6"/>
      <c r="P165" s="6"/>
      <c r="Q165" s="6"/>
      <c r="R165" s="6"/>
      <c r="S165" s="6"/>
      <c r="T165" s="6"/>
      <c r="U165" s="7"/>
    </row>
    <row r="166" ht="13.75" customHeight="1">
      <c r="A166" s="5"/>
      <c r="B166" s="608">
        <v>147</v>
      </c>
      <c r="C166" s="609">
        <f>IF($B$20:$B$499&lt;&gt;"",DATE(YEAR($E$11),MONTH($E$11)+($B$20:$B$499)*12/$E$10,DAY($E$11)),"")</f>
        <v>49735</v>
      </c>
      <c r="D166" s="610">
        <f>IF($B$20:$B$499&lt;&gt;"",J165,"")</f>
        <v>1741094.50512828</v>
      </c>
      <c r="E166" s="610">
        <f>IF($B$20:$B$499&lt;&gt;"",$K$7,"")</f>
        <v>24114.8980934895</v>
      </c>
      <c r="F166" s="610">
        <f>IF(AND($B$20:$B$499&lt;&gt;"",$E$20:$E$499+$E$12&lt;$D$20:$D$499),$E$12,IF(AND($B$20:$B$499&lt;&gt;"",$D$20:$D$499-$E$20:$E$499&gt;0),$D$20:$D$499-$E$20:$E$499,IF($B$20:$B$499&lt;&gt;"",0,"")))</f>
        <v>0</v>
      </c>
      <c r="G166" s="610">
        <f>IF(AND($B$20:$B$499&lt;&gt;"",$E$20:$E$499+$F$20:$F$499&lt;$D$20:$D$499),$E$20:$E$499+$F$20:$F$499,IF($B$20:$B$499&lt;&gt;"",$D$20:$D$499,""))</f>
        <v>24114.8980934895</v>
      </c>
      <c r="H166" s="610">
        <f>IF($B$20:$B$499&lt;&gt;"",$G$20:$G$499-$I$20:$I$499,"")</f>
        <v>13958.5134802412</v>
      </c>
      <c r="I166" s="610">
        <f>IF($B$20:$B$499&lt;&gt;"",$D$20:$D$499*$E$8/$E$10,"")</f>
        <v>10156.3846132483</v>
      </c>
      <c r="J166" s="610">
        <f>IF(AND($B$20:$B$499&lt;&gt;"",$E$20:$E$499+$F$20:$F$499&lt;$D$20:$D$499),$D$20:$D$499-$H$20:$H$499,IF($B$20:$B$499&lt;&gt;"",0,""))</f>
        <v>1727135.99164804</v>
      </c>
      <c r="K166" s="610">
        <f>SUM($I$20:$I166)</f>
        <v>2161626.01139102</v>
      </c>
      <c r="L166" s="371"/>
      <c r="M166" s="371"/>
      <c r="N166" s="6"/>
      <c r="O166" s="6"/>
      <c r="P166" s="6"/>
      <c r="Q166" s="6"/>
      <c r="R166" s="6"/>
      <c r="S166" s="6"/>
      <c r="T166" s="6"/>
      <c r="U166" s="7"/>
    </row>
    <row r="167" ht="13.75" customHeight="1">
      <c r="A167" s="5"/>
      <c r="B167" s="608">
        <v>148</v>
      </c>
      <c r="C167" s="609">
        <f>IF($B$20:$B$499&lt;&gt;"",DATE(YEAR($E$11),MONTH($E$11)+($B$20:$B$499)*12/$E$10,DAY($E$11)),"")</f>
        <v>49766</v>
      </c>
      <c r="D167" s="610">
        <f>IF($B$20:$B$499&lt;&gt;"",J166,"")</f>
        <v>1727135.99164804</v>
      </c>
      <c r="E167" s="610">
        <f>IF($B$20:$B$499&lt;&gt;"",$K$7,"")</f>
        <v>24114.8980934895</v>
      </c>
      <c r="F167" s="610">
        <f>IF(AND($B$20:$B$499&lt;&gt;"",$E$20:$E$499+$E$12&lt;$D$20:$D$499),$E$12,IF(AND($B$20:$B$499&lt;&gt;"",$D$20:$D$499-$E$20:$E$499&gt;0),$D$20:$D$499-$E$20:$E$499,IF($B$20:$B$499&lt;&gt;"",0,"")))</f>
        <v>0</v>
      </c>
      <c r="G167" s="610">
        <f>IF(AND($B$20:$B$499&lt;&gt;"",$E$20:$E$499+$F$20:$F$499&lt;$D$20:$D$499),$E$20:$E$499+$F$20:$F$499,IF($B$20:$B$499&lt;&gt;"",$D$20:$D$499,""))</f>
        <v>24114.8980934895</v>
      </c>
      <c r="H167" s="610">
        <f>IF($B$20:$B$499&lt;&gt;"",$G$20:$G$499-$I$20:$I$499,"")</f>
        <v>14039.9381422093</v>
      </c>
      <c r="I167" s="610">
        <f>IF($B$20:$B$499&lt;&gt;"",$D$20:$D$499*$E$8/$E$10,"")</f>
        <v>10074.9599512802</v>
      </c>
      <c r="J167" s="610">
        <f>IF(AND($B$20:$B$499&lt;&gt;"",$E$20:$E$499+$F$20:$F$499&lt;$D$20:$D$499),$D$20:$D$499-$H$20:$H$499,IF($B$20:$B$499&lt;&gt;"",0,""))</f>
        <v>1713096.05350583</v>
      </c>
      <c r="K167" s="610">
        <f>SUM($I$20:$I167)</f>
        <v>2171700.9713423</v>
      </c>
      <c r="L167" s="371"/>
      <c r="M167" s="371"/>
      <c r="N167" s="6"/>
      <c r="O167" s="6"/>
      <c r="P167" s="6"/>
      <c r="Q167" s="6"/>
      <c r="R167" s="6"/>
      <c r="S167" s="6"/>
      <c r="T167" s="6"/>
      <c r="U167" s="7"/>
    </row>
    <row r="168" ht="13.75" customHeight="1">
      <c r="A168" s="5"/>
      <c r="B168" s="608">
        <v>149</v>
      </c>
      <c r="C168" s="609">
        <f>IF($B$20:$B$499&lt;&gt;"",DATE(YEAR($E$11),MONTH($E$11)+($B$20:$B$499)*12/$E$10,DAY($E$11)),"")</f>
        <v>49796</v>
      </c>
      <c r="D168" s="610">
        <f>IF($B$20:$B$499&lt;&gt;"",J167,"")</f>
        <v>1713096.05350583</v>
      </c>
      <c r="E168" s="610">
        <f>IF($B$20:$B$499&lt;&gt;"",$K$7,"")</f>
        <v>24114.8980934895</v>
      </c>
      <c r="F168" s="610">
        <f>IF(AND($B$20:$B$499&lt;&gt;"",$E$20:$E$499+$E$12&lt;$D$20:$D$499),$E$12,IF(AND($B$20:$B$499&lt;&gt;"",$D$20:$D$499-$E$20:$E$499&gt;0),$D$20:$D$499-$E$20:$E$499,IF($B$20:$B$499&lt;&gt;"",0,"")))</f>
        <v>0</v>
      </c>
      <c r="G168" s="610">
        <f>IF(AND($B$20:$B$499&lt;&gt;"",$E$20:$E$499+$F$20:$F$499&lt;$D$20:$D$499),$E$20:$E$499+$F$20:$F$499,IF($B$20:$B$499&lt;&gt;"",$D$20:$D$499,""))</f>
        <v>24114.8980934895</v>
      </c>
      <c r="H168" s="610">
        <f>IF($B$20:$B$499&lt;&gt;"",$G$20:$G$499-$I$20:$I$499,"")</f>
        <v>14121.8377813722</v>
      </c>
      <c r="I168" s="610">
        <f>IF($B$20:$B$499&lt;&gt;"",$D$20:$D$499*$E$8/$E$10,"")</f>
        <v>9993.060312117341</v>
      </c>
      <c r="J168" s="610">
        <f>IF(AND($B$20:$B$499&lt;&gt;"",$E$20:$E$499+$F$20:$F$499&lt;$D$20:$D$499),$D$20:$D$499-$H$20:$H$499,IF($B$20:$B$499&lt;&gt;"",0,""))</f>
        <v>1698974.21572446</v>
      </c>
      <c r="K168" s="610">
        <f>SUM($I$20:$I168)</f>
        <v>2181694.03165442</v>
      </c>
      <c r="L168" s="371"/>
      <c r="M168" s="371"/>
      <c r="N168" s="6"/>
      <c r="O168" s="6"/>
      <c r="P168" s="6"/>
      <c r="Q168" s="6"/>
      <c r="R168" s="6"/>
      <c r="S168" s="6"/>
      <c r="T168" s="6"/>
      <c r="U168" s="7"/>
    </row>
    <row r="169" ht="13.75" customHeight="1">
      <c r="A169" s="5"/>
      <c r="B169" s="608">
        <v>150</v>
      </c>
      <c r="C169" s="609">
        <f>IF($B$20:$B$499&lt;&gt;"",DATE(YEAR($E$11),MONTH($E$11)+($B$20:$B$499)*12/$E$10,DAY($E$11)),"")</f>
        <v>49827</v>
      </c>
      <c r="D169" s="610">
        <f>IF($B$20:$B$499&lt;&gt;"",J168,"")</f>
        <v>1698974.21572446</v>
      </c>
      <c r="E169" s="610">
        <f>IF($B$20:$B$499&lt;&gt;"",$K$7,"")</f>
        <v>24114.8980934895</v>
      </c>
      <c r="F169" s="610">
        <f>IF(AND($B$20:$B$499&lt;&gt;"",$E$20:$E$499+$E$12&lt;$D$20:$D$499),$E$12,IF(AND($B$20:$B$499&lt;&gt;"",$D$20:$D$499-$E$20:$E$499&gt;0),$D$20:$D$499-$E$20:$E$499,IF($B$20:$B$499&lt;&gt;"",0,"")))</f>
        <v>0</v>
      </c>
      <c r="G169" s="610">
        <f>IF(AND($B$20:$B$499&lt;&gt;"",$E$20:$E$499+$F$20:$F$499&lt;$D$20:$D$499),$E$20:$E$499+$F$20:$F$499,IF($B$20:$B$499&lt;&gt;"",$D$20:$D$499,""))</f>
        <v>24114.8980934895</v>
      </c>
      <c r="H169" s="610">
        <f>IF($B$20:$B$499&lt;&gt;"",$G$20:$G$499-$I$20:$I$499,"")</f>
        <v>14204.2151684302</v>
      </c>
      <c r="I169" s="610">
        <f>IF($B$20:$B$499&lt;&gt;"",$D$20:$D$499*$E$8/$E$10,"")</f>
        <v>9910.682925059349</v>
      </c>
      <c r="J169" s="610">
        <f>IF(AND($B$20:$B$499&lt;&gt;"",$E$20:$E$499+$F$20:$F$499&lt;$D$20:$D$499),$D$20:$D$499-$H$20:$H$499,IF($B$20:$B$499&lt;&gt;"",0,""))</f>
        <v>1684770.00055603</v>
      </c>
      <c r="K169" s="610">
        <f>SUM($I$20:$I169)</f>
        <v>2191604.71457948</v>
      </c>
      <c r="L169" s="371"/>
      <c r="M169" s="371"/>
      <c r="N169" s="6"/>
      <c r="O169" s="6"/>
      <c r="P169" s="6"/>
      <c r="Q169" s="6"/>
      <c r="R169" s="6"/>
      <c r="S169" s="6"/>
      <c r="T169" s="6"/>
      <c r="U169" s="7"/>
    </row>
    <row r="170" ht="13.75" customHeight="1">
      <c r="A170" s="5"/>
      <c r="B170" s="608">
        <v>151</v>
      </c>
      <c r="C170" s="609">
        <f>IF($B$20:$B$499&lt;&gt;"",DATE(YEAR($E$11),MONTH($E$11)+($B$20:$B$499)*12/$E$10,DAY($E$11)),"")</f>
        <v>49857</v>
      </c>
      <c r="D170" s="610">
        <f>IF($B$20:$B$499&lt;&gt;"",J169,"")</f>
        <v>1684770.00055603</v>
      </c>
      <c r="E170" s="610">
        <f>IF($B$20:$B$499&lt;&gt;"",$K$7,"")</f>
        <v>24114.8980934895</v>
      </c>
      <c r="F170" s="610">
        <f>IF(AND($B$20:$B$499&lt;&gt;"",$E$20:$E$499+$E$12&lt;$D$20:$D$499),$E$12,IF(AND($B$20:$B$499&lt;&gt;"",$D$20:$D$499-$E$20:$E$499&gt;0),$D$20:$D$499-$E$20:$E$499,IF($B$20:$B$499&lt;&gt;"",0,"")))</f>
        <v>0</v>
      </c>
      <c r="G170" s="610">
        <f>IF(AND($B$20:$B$499&lt;&gt;"",$E$20:$E$499+$F$20:$F$499&lt;$D$20:$D$499),$E$20:$E$499+$F$20:$F$499,IF($B$20:$B$499&lt;&gt;"",$D$20:$D$499,""))</f>
        <v>24114.8980934895</v>
      </c>
      <c r="H170" s="610">
        <f>IF($B$20:$B$499&lt;&gt;"",$G$20:$G$499-$I$20:$I$499,"")</f>
        <v>14287.073090246</v>
      </c>
      <c r="I170" s="610">
        <f>IF($B$20:$B$499&lt;&gt;"",$D$20:$D$499*$E$8/$E$10,"")</f>
        <v>9827.825003243510</v>
      </c>
      <c r="J170" s="610">
        <f>IF(AND($B$20:$B$499&lt;&gt;"",$E$20:$E$499+$F$20:$F$499&lt;$D$20:$D$499),$D$20:$D$499-$H$20:$H$499,IF($B$20:$B$499&lt;&gt;"",0,""))</f>
        <v>1670482.92746578</v>
      </c>
      <c r="K170" s="610">
        <f>SUM($I$20:$I170)</f>
        <v>2201432.53958272</v>
      </c>
      <c r="L170" s="371"/>
      <c r="M170" s="371"/>
      <c r="N170" s="6"/>
      <c r="O170" s="6"/>
      <c r="P170" s="6"/>
      <c r="Q170" s="6"/>
      <c r="R170" s="6"/>
      <c r="S170" s="6"/>
      <c r="T170" s="6"/>
      <c r="U170" s="7"/>
    </row>
    <row r="171" ht="13.75" customHeight="1">
      <c r="A171" s="5"/>
      <c r="B171" s="608">
        <v>152</v>
      </c>
      <c r="C171" s="609">
        <f>IF($B$20:$B$499&lt;&gt;"",DATE(YEAR($E$11),MONTH($E$11)+($B$20:$B$499)*12/$E$10,DAY($E$11)),"")</f>
        <v>49888</v>
      </c>
      <c r="D171" s="610">
        <f>IF($B$20:$B$499&lt;&gt;"",J170,"")</f>
        <v>1670482.92746578</v>
      </c>
      <c r="E171" s="610">
        <f>IF($B$20:$B$499&lt;&gt;"",$K$7,"")</f>
        <v>24114.8980934895</v>
      </c>
      <c r="F171" s="610">
        <f>IF(AND($B$20:$B$499&lt;&gt;"",$E$20:$E$499+$E$12&lt;$D$20:$D$499),$E$12,IF(AND($B$20:$B$499&lt;&gt;"",$D$20:$D$499-$E$20:$E$499&gt;0),$D$20:$D$499-$E$20:$E$499,IF($B$20:$B$499&lt;&gt;"",0,"")))</f>
        <v>0</v>
      </c>
      <c r="G171" s="610">
        <f>IF(AND($B$20:$B$499&lt;&gt;"",$E$20:$E$499+$F$20:$F$499&lt;$D$20:$D$499),$E$20:$E$499+$F$20:$F$499,IF($B$20:$B$499&lt;&gt;"",$D$20:$D$499,""))</f>
        <v>24114.8980934895</v>
      </c>
      <c r="H171" s="610">
        <f>IF($B$20:$B$499&lt;&gt;"",$G$20:$G$499-$I$20:$I$499,"")</f>
        <v>14370.4143499391</v>
      </c>
      <c r="I171" s="610">
        <f>IF($B$20:$B$499&lt;&gt;"",$D$20:$D$499*$E$8/$E$10,"")</f>
        <v>9744.483743550380</v>
      </c>
      <c r="J171" s="610">
        <f>IF(AND($B$20:$B$499&lt;&gt;"",$E$20:$E$499+$F$20:$F$499&lt;$D$20:$D$499),$D$20:$D$499-$H$20:$H$499,IF($B$20:$B$499&lt;&gt;"",0,""))</f>
        <v>1656112.51311584</v>
      </c>
      <c r="K171" s="610">
        <f>SUM($I$20:$I171)</f>
        <v>2211177.02332627</v>
      </c>
      <c r="L171" s="371"/>
      <c r="M171" s="371"/>
      <c r="N171" s="6"/>
      <c r="O171" s="6"/>
      <c r="P171" s="6"/>
      <c r="Q171" s="6"/>
      <c r="R171" s="6"/>
      <c r="S171" s="6"/>
      <c r="T171" s="6"/>
      <c r="U171" s="7"/>
    </row>
    <row r="172" ht="13.75" customHeight="1">
      <c r="A172" s="5"/>
      <c r="B172" s="608">
        <v>153</v>
      </c>
      <c r="C172" s="609">
        <f>IF($B$20:$B$499&lt;&gt;"",DATE(YEAR($E$11),MONTH($E$11)+($B$20:$B$499)*12/$E$10,DAY($E$11)),"")</f>
        <v>49919</v>
      </c>
      <c r="D172" s="610">
        <f>IF($B$20:$B$499&lt;&gt;"",J171,"")</f>
        <v>1656112.51311584</v>
      </c>
      <c r="E172" s="610">
        <f>IF($B$20:$B$499&lt;&gt;"",$K$7,"")</f>
        <v>24114.8980934895</v>
      </c>
      <c r="F172" s="610">
        <f>IF(AND($B$20:$B$499&lt;&gt;"",$E$20:$E$499+$E$12&lt;$D$20:$D$499),$E$12,IF(AND($B$20:$B$499&lt;&gt;"",$D$20:$D$499-$E$20:$E$499&gt;0),$D$20:$D$499-$E$20:$E$499,IF($B$20:$B$499&lt;&gt;"",0,"")))</f>
        <v>0</v>
      </c>
      <c r="G172" s="610">
        <f>IF(AND($B$20:$B$499&lt;&gt;"",$E$20:$E$499+$F$20:$F$499&lt;$D$20:$D$499),$E$20:$E$499+$F$20:$F$499,IF($B$20:$B$499&lt;&gt;"",$D$20:$D$499,""))</f>
        <v>24114.8980934895</v>
      </c>
      <c r="H172" s="610">
        <f>IF($B$20:$B$499&lt;&gt;"",$G$20:$G$499-$I$20:$I$499,"")</f>
        <v>14454.2417669804</v>
      </c>
      <c r="I172" s="610">
        <f>IF($B$20:$B$499&lt;&gt;"",$D$20:$D$499*$E$8/$E$10,"")</f>
        <v>9660.656326509070</v>
      </c>
      <c r="J172" s="610">
        <f>IF(AND($B$20:$B$499&lt;&gt;"",$E$20:$E$499+$F$20:$F$499&lt;$D$20:$D$499),$D$20:$D$499-$H$20:$H$499,IF($B$20:$B$499&lt;&gt;"",0,""))</f>
        <v>1641658.27134886</v>
      </c>
      <c r="K172" s="610">
        <f>SUM($I$20:$I172)</f>
        <v>2220837.67965278</v>
      </c>
      <c r="L172" s="371"/>
      <c r="M172" s="371"/>
      <c r="N172" s="6"/>
      <c r="O172" s="6"/>
      <c r="P172" s="6"/>
      <c r="Q172" s="6"/>
      <c r="R172" s="6"/>
      <c r="S172" s="6"/>
      <c r="T172" s="6"/>
      <c r="U172" s="7"/>
    </row>
    <row r="173" ht="13.75" customHeight="1">
      <c r="A173" s="5"/>
      <c r="B173" s="608">
        <v>154</v>
      </c>
      <c r="C173" s="609">
        <f>IF($B$20:$B$499&lt;&gt;"",DATE(YEAR($E$11),MONTH($E$11)+($B$20:$B$499)*12/$E$10,DAY($E$11)),"")</f>
        <v>49949</v>
      </c>
      <c r="D173" s="610">
        <f>IF($B$20:$B$499&lt;&gt;"",J172,"")</f>
        <v>1641658.27134886</v>
      </c>
      <c r="E173" s="610">
        <f>IF($B$20:$B$499&lt;&gt;"",$K$7,"")</f>
        <v>24114.8980934895</v>
      </c>
      <c r="F173" s="610">
        <f>IF(AND($B$20:$B$499&lt;&gt;"",$E$20:$E$499+$E$12&lt;$D$20:$D$499),$E$12,IF(AND($B$20:$B$499&lt;&gt;"",$D$20:$D$499-$E$20:$E$499&gt;0),$D$20:$D$499-$E$20:$E$499,IF($B$20:$B$499&lt;&gt;"",0,"")))</f>
        <v>0</v>
      </c>
      <c r="G173" s="610">
        <f>IF(AND($B$20:$B$499&lt;&gt;"",$E$20:$E$499+$F$20:$F$499&lt;$D$20:$D$499),$E$20:$E$499+$F$20:$F$499,IF($B$20:$B$499&lt;&gt;"",$D$20:$D$499,""))</f>
        <v>24114.8980934895</v>
      </c>
      <c r="H173" s="610">
        <f>IF($B$20:$B$499&lt;&gt;"",$G$20:$G$499-$I$20:$I$499,"")</f>
        <v>14538.5581772878</v>
      </c>
      <c r="I173" s="610">
        <f>IF($B$20:$B$499&lt;&gt;"",$D$20:$D$499*$E$8/$E$10,"")</f>
        <v>9576.339916201679</v>
      </c>
      <c r="J173" s="610">
        <f>IF(AND($B$20:$B$499&lt;&gt;"",$E$20:$E$499+$F$20:$F$499&lt;$D$20:$D$499),$D$20:$D$499-$H$20:$H$499,IF($B$20:$B$499&lt;&gt;"",0,""))</f>
        <v>1627119.71317157</v>
      </c>
      <c r="K173" s="610">
        <f>SUM($I$20:$I173)</f>
        <v>2230414.01956898</v>
      </c>
      <c r="L173" s="371"/>
      <c r="M173" s="371"/>
      <c r="N173" s="6"/>
      <c r="O173" s="6"/>
      <c r="P173" s="6"/>
      <c r="Q173" s="6"/>
      <c r="R173" s="6"/>
      <c r="S173" s="6"/>
      <c r="T173" s="6"/>
      <c r="U173" s="7"/>
    </row>
    <row r="174" ht="13.75" customHeight="1">
      <c r="A174" s="5"/>
      <c r="B174" s="608">
        <v>155</v>
      </c>
      <c r="C174" s="609">
        <f>IF($B$20:$B$499&lt;&gt;"",DATE(YEAR($E$11),MONTH($E$11)+($B$20:$B$499)*12/$E$10,DAY($E$11)),"")</f>
        <v>49980</v>
      </c>
      <c r="D174" s="610">
        <f>IF($B$20:$B$499&lt;&gt;"",J173,"")</f>
        <v>1627119.71317157</v>
      </c>
      <c r="E174" s="610">
        <f>IF($B$20:$B$499&lt;&gt;"",$K$7,"")</f>
        <v>24114.8980934895</v>
      </c>
      <c r="F174" s="610">
        <f>IF(AND($B$20:$B$499&lt;&gt;"",$E$20:$E$499+$E$12&lt;$D$20:$D$499),$E$12,IF(AND($B$20:$B$499&lt;&gt;"",$D$20:$D$499-$E$20:$E$499&gt;0),$D$20:$D$499-$E$20:$E$499,IF($B$20:$B$499&lt;&gt;"",0,"")))</f>
        <v>0</v>
      </c>
      <c r="G174" s="610">
        <f>IF(AND($B$20:$B$499&lt;&gt;"",$E$20:$E$499+$F$20:$F$499&lt;$D$20:$D$499),$E$20:$E$499+$F$20:$F$499,IF($B$20:$B$499&lt;&gt;"",$D$20:$D$499,""))</f>
        <v>24114.8980934895</v>
      </c>
      <c r="H174" s="610">
        <f>IF($B$20:$B$499&lt;&gt;"",$G$20:$G$499-$I$20:$I$499,"")</f>
        <v>14623.366433322</v>
      </c>
      <c r="I174" s="610">
        <f>IF($B$20:$B$499&lt;&gt;"",$D$20:$D$499*$E$8/$E$10,"")</f>
        <v>9491.531660167489</v>
      </c>
      <c r="J174" s="610">
        <f>IF(AND($B$20:$B$499&lt;&gt;"",$E$20:$E$499+$F$20:$F$499&lt;$D$20:$D$499),$D$20:$D$499-$H$20:$H$499,IF($B$20:$B$499&lt;&gt;"",0,""))</f>
        <v>1612496.34673825</v>
      </c>
      <c r="K174" s="610">
        <f>SUM($I$20:$I174)</f>
        <v>2239905.55122915</v>
      </c>
      <c r="L174" s="6"/>
      <c r="M174" s="6"/>
      <c r="N174" s="6"/>
      <c r="O174" s="6"/>
      <c r="P174" s="6"/>
      <c r="Q174" s="6"/>
      <c r="R174" s="6"/>
      <c r="S174" s="6"/>
      <c r="T174" s="6"/>
      <c r="U174" s="7"/>
    </row>
    <row r="175" ht="13.75" customHeight="1">
      <c r="A175" s="5"/>
      <c r="B175" s="608">
        <v>156</v>
      </c>
      <c r="C175" s="609">
        <f>IF($B$20:$B$499&lt;&gt;"",DATE(YEAR($E$11),MONTH($E$11)+($B$20:$B$499)*12/$E$10,DAY($E$11)),"")</f>
        <v>50010</v>
      </c>
      <c r="D175" s="610">
        <f>IF($B$20:$B$499&lt;&gt;"",J174,"")</f>
        <v>1612496.34673825</v>
      </c>
      <c r="E175" s="610">
        <f>IF($B$20:$B$499&lt;&gt;"",$K$7,"")</f>
        <v>24114.8980934895</v>
      </c>
      <c r="F175" s="610">
        <f>IF(AND($B$20:$B$499&lt;&gt;"",$E$20:$E$499+$E$12&lt;$D$20:$D$499),$E$12,IF(AND($B$20:$B$499&lt;&gt;"",$D$20:$D$499-$E$20:$E$499&gt;0),$D$20:$D$499-$E$20:$E$499,IF($B$20:$B$499&lt;&gt;"",0,"")))</f>
        <v>0</v>
      </c>
      <c r="G175" s="610">
        <f>IF(AND($B$20:$B$499&lt;&gt;"",$E$20:$E$499+$F$20:$F$499&lt;$D$20:$D$499),$E$20:$E$499+$F$20:$F$499,IF($B$20:$B$499&lt;&gt;"",$D$20:$D$499,""))</f>
        <v>24114.8980934895</v>
      </c>
      <c r="H175" s="610">
        <f>IF($B$20:$B$499&lt;&gt;"",$G$20:$G$499-$I$20:$I$499,"")</f>
        <v>14708.669404183</v>
      </c>
      <c r="I175" s="610">
        <f>IF($B$20:$B$499&lt;&gt;"",$D$20:$D$499*$E$8/$E$10,"")</f>
        <v>9406.228689306459</v>
      </c>
      <c r="J175" s="610">
        <f>IF(AND($B$20:$B$499&lt;&gt;"",$E$20:$E$499+$F$20:$F$499&lt;$D$20:$D$499),$D$20:$D$499-$H$20:$H$499,IF($B$20:$B$499&lt;&gt;"",0,""))</f>
        <v>1597787.67733407</v>
      </c>
      <c r="K175" s="610">
        <f>SUM($I$20:$I175)</f>
        <v>2249311.77991846</v>
      </c>
      <c r="L175" s="6"/>
      <c r="M175" s="6"/>
      <c r="N175" s="6"/>
      <c r="O175" s="6"/>
      <c r="P175" s="6"/>
      <c r="Q175" s="6"/>
      <c r="R175" s="6"/>
      <c r="S175" s="6"/>
      <c r="T175" s="6"/>
      <c r="U175" s="7"/>
    </row>
    <row r="176" ht="13.75" customHeight="1">
      <c r="A176" s="5"/>
      <c r="B176" s="608">
        <v>157</v>
      </c>
      <c r="C176" s="609">
        <f>IF($B$20:$B$499&lt;&gt;"",DATE(YEAR($E$11),MONTH($E$11)+($B$20:$B$499)*12/$E$10,DAY($E$11)),"")</f>
        <v>50041</v>
      </c>
      <c r="D176" s="610">
        <f>IF($B$20:$B$499&lt;&gt;"",J175,"")</f>
        <v>1597787.67733407</v>
      </c>
      <c r="E176" s="610">
        <f>IF($B$20:$B$499&lt;&gt;"",$K$7,"")</f>
        <v>24114.8980934895</v>
      </c>
      <c r="F176" s="610">
        <f>IF(AND($B$20:$B$499&lt;&gt;"",$E$20:$E$499+$E$12&lt;$D$20:$D$499),$E$12,IF(AND($B$20:$B$499&lt;&gt;"",$D$20:$D$499-$E$20:$E$499&gt;0),$D$20:$D$499-$E$20:$E$499,IF($B$20:$B$499&lt;&gt;"",0,"")))</f>
        <v>0</v>
      </c>
      <c r="G176" s="610">
        <f>IF(AND($B$20:$B$499&lt;&gt;"",$E$20:$E$499+$F$20:$F$499&lt;$D$20:$D$499),$E$20:$E$499+$F$20:$F$499,IF($B$20:$B$499&lt;&gt;"",$D$20:$D$499,""))</f>
        <v>24114.8980934895</v>
      </c>
      <c r="H176" s="610">
        <f>IF($B$20:$B$499&lt;&gt;"",$G$20:$G$499-$I$20:$I$499,"")</f>
        <v>14794.4699757074</v>
      </c>
      <c r="I176" s="610">
        <f>IF($B$20:$B$499&lt;&gt;"",$D$20:$D$499*$E$8/$E$10,"")</f>
        <v>9320.428117782079</v>
      </c>
      <c r="J176" s="610">
        <f>IF(AND($B$20:$B$499&lt;&gt;"",$E$20:$E$499+$F$20:$F$499&lt;$D$20:$D$499),$D$20:$D$499-$H$20:$H$499,IF($B$20:$B$499&lt;&gt;"",0,""))</f>
        <v>1582993.20735836</v>
      </c>
      <c r="K176" s="610">
        <f>SUM($I$20:$I176)</f>
        <v>2258632.20803624</v>
      </c>
      <c r="L176" s="6"/>
      <c r="M176" s="6"/>
      <c r="N176" s="6"/>
      <c r="O176" s="6"/>
      <c r="P176" s="6"/>
      <c r="Q176" s="6"/>
      <c r="R176" s="6"/>
      <c r="S176" s="6"/>
      <c r="T176" s="6"/>
      <c r="U176" s="7"/>
    </row>
    <row r="177" ht="13.75" customHeight="1">
      <c r="A177" s="5"/>
      <c r="B177" s="608">
        <v>158</v>
      </c>
      <c r="C177" s="609">
        <f>IF($B$20:$B$499&lt;&gt;"",DATE(YEAR($E$11),MONTH($E$11)+($B$20:$B$499)*12/$E$10,DAY($E$11)),"")</f>
        <v>50072</v>
      </c>
      <c r="D177" s="610">
        <f>IF($B$20:$B$499&lt;&gt;"",J176,"")</f>
        <v>1582993.20735836</v>
      </c>
      <c r="E177" s="610">
        <f>IF($B$20:$B$499&lt;&gt;"",$K$7,"")</f>
        <v>24114.8980934895</v>
      </c>
      <c r="F177" s="610">
        <f>IF(AND($B$20:$B$499&lt;&gt;"",$E$20:$E$499+$E$12&lt;$D$20:$D$499),$E$12,IF(AND($B$20:$B$499&lt;&gt;"",$D$20:$D$499-$E$20:$E$499&gt;0),$D$20:$D$499-$E$20:$E$499,IF($B$20:$B$499&lt;&gt;"",0,"")))</f>
        <v>0</v>
      </c>
      <c r="G177" s="610">
        <f>IF(AND($B$20:$B$499&lt;&gt;"",$E$20:$E$499+$F$20:$F$499&lt;$D$20:$D$499),$E$20:$E$499+$F$20:$F$499,IF($B$20:$B$499&lt;&gt;"",$D$20:$D$499,""))</f>
        <v>24114.8980934895</v>
      </c>
      <c r="H177" s="610">
        <f>IF($B$20:$B$499&lt;&gt;"",$G$20:$G$499-$I$20:$I$499,"")</f>
        <v>14880.7710505657</v>
      </c>
      <c r="I177" s="610">
        <f>IF($B$20:$B$499&lt;&gt;"",$D$20:$D$499*$E$8/$E$10,"")</f>
        <v>9234.127042923770</v>
      </c>
      <c r="J177" s="610">
        <f>IF(AND($B$20:$B$499&lt;&gt;"",$E$20:$E$499+$F$20:$F$499&lt;$D$20:$D$499),$D$20:$D$499-$H$20:$H$499,IF($B$20:$B$499&lt;&gt;"",0,""))</f>
        <v>1568112.43630779</v>
      </c>
      <c r="K177" s="610">
        <f>SUM($I$20:$I177)</f>
        <v>2267866.33507916</v>
      </c>
      <c r="L177" s="6"/>
      <c r="M177" s="6"/>
      <c r="N177" s="6"/>
      <c r="O177" s="6"/>
      <c r="P177" s="6"/>
      <c r="Q177" s="6"/>
      <c r="R177" s="6"/>
      <c r="S177" s="6"/>
      <c r="T177" s="6"/>
      <c r="U177" s="7"/>
    </row>
    <row r="178" ht="13.75" customHeight="1">
      <c r="A178" s="5"/>
      <c r="B178" s="608">
        <v>159</v>
      </c>
      <c r="C178" s="609">
        <f>IF($B$20:$B$499&lt;&gt;"",DATE(YEAR($E$11),MONTH($E$11)+($B$20:$B$499)*12/$E$10,DAY($E$11)),"")</f>
        <v>50100</v>
      </c>
      <c r="D178" s="610">
        <f>IF($B$20:$B$499&lt;&gt;"",J177,"")</f>
        <v>1568112.43630779</v>
      </c>
      <c r="E178" s="610">
        <f>IF($B$20:$B$499&lt;&gt;"",$K$7,"")</f>
        <v>24114.8980934895</v>
      </c>
      <c r="F178" s="610">
        <f>IF(AND($B$20:$B$499&lt;&gt;"",$E$20:$E$499+$E$12&lt;$D$20:$D$499),$E$12,IF(AND($B$20:$B$499&lt;&gt;"",$D$20:$D$499-$E$20:$E$499&gt;0),$D$20:$D$499-$E$20:$E$499,IF($B$20:$B$499&lt;&gt;"",0,"")))</f>
        <v>0</v>
      </c>
      <c r="G178" s="610">
        <f>IF(AND($B$20:$B$499&lt;&gt;"",$E$20:$E$499+$F$20:$F$499&lt;$D$20:$D$499),$E$20:$E$499+$F$20:$F$499,IF($B$20:$B$499&lt;&gt;"",$D$20:$D$499,""))</f>
        <v>24114.8980934895</v>
      </c>
      <c r="H178" s="610">
        <f>IF($B$20:$B$499&lt;&gt;"",$G$20:$G$499-$I$20:$I$499,"")</f>
        <v>14967.5755483607</v>
      </c>
      <c r="I178" s="610">
        <f>IF($B$20:$B$499&lt;&gt;"",$D$20:$D$499*$E$8/$E$10,"")</f>
        <v>9147.322545128780</v>
      </c>
      <c r="J178" s="610">
        <f>IF(AND($B$20:$B$499&lt;&gt;"",$E$20:$E$499+$F$20:$F$499&lt;$D$20:$D$499),$D$20:$D$499-$H$20:$H$499,IF($B$20:$B$499&lt;&gt;"",0,""))</f>
        <v>1553144.86075943</v>
      </c>
      <c r="K178" s="610">
        <f>SUM($I$20:$I178)</f>
        <v>2277013.65762429</v>
      </c>
      <c r="L178" s="6"/>
      <c r="M178" s="6"/>
      <c r="N178" s="6"/>
      <c r="O178" s="6"/>
      <c r="P178" s="6"/>
      <c r="Q178" s="6"/>
      <c r="R178" s="6"/>
      <c r="S178" s="6"/>
      <c r="T178" s="6"/>
      <c r="U178" s="7"/>
    </row>
    <row r="179" ht="13.75" customHeight="1">
      <c r="A179" s="5"/>
      <c r="B179" s="608">
        <v>160</v>
      </c>
      <c r="C179" s="609">
        <f>IF($B$20:$B$499&lt;&gt;"",DATE(YEAR($E$11),MONTH($E$11)+($B$20:$B$499)*12/$E$10,DAY($E$11)),"")</f>
        <v>50131</v>
      </c>
      <c r="D179" s="610">
        <f>IF($B$20:$B$499&lt;&gt;"",J178,"")</f>
        <v>1553144.86075943</v>
      </c>
      <c r="E179" s="610">
        <f>IF($B$20:$B$499&lt;&gt;"",$K$7,"")</f>
        <v>24114.8980934895</v>
      </c>
      <c r="F179" s="610">
        <f>IF(AND($B$20:$B$499&lt;&gt;"",$E$20:$E$499+$E$12&lt;$D$20:$D$499),$E$12,IF(AND($B$20:$B$499&lt;&gt;"",$D$20:$D$499-$E$20:$E$499&gt;0),$D$20:$D$499-$E$20:$E$499,IF($B$20:$B$499&lt;&gt;"",0,"")))</f>
        <v>0</v>
      </c>
      <c r="G179" s="610">
        <f>IF(AND($B$20:$B$499&lt;&gt;"",$E$20:$E$499+$F$20:$F$499&lt;$D$20:$D$499),$E$20:$E$499+$F$20:$F$499,IF($B$20:$B$499&lt;&gt;"",$D$20:$D$499,""))</f>
        <v>24114.8980934895</v>
      </c>
      <c r="H179" s="610">
        <f>IF($B$20:$B$499&lt;&gt;"",$G$20:$G$499-$I$20:$I$499,"")</f>
        <v>15054.8864057262</v>
      </c>
      <c r="I179" s="610">
        <f>IF($B$20:$B$499&lt;&gt;"",$D$20:$D$499*$E$8/$E$10,"")</f>
        <v>9060.011687763341</v>
      </c>
      <c r="J179" s="610">
        <f>IF(AND($B$20:$B$499&lt;&gt;"",$E$20:$E$499+$F$20:$F$499&lt;$D$20:$D$499),$D$20:$D$499-$H$20:$H$499,IF($B$20:$B$499&lt;&gt;"",0,""))</f>
        <v>1538089.9743537</v>
      </c>
      <c r="K179" s="610">
        <f>SUM($I$20:$I179)</f>
        <v>2286073.66931205</v>
      </c>
      <c r="L179" s="6"/>
      <c r="M179" s="6"/>
      <c r="N179" s="6"/>
      <c r="O179" s="6"/>
      <c r="P179" s="6"/>
      <c r="Q179" s="6"/>
      <c r="R179" s="6"/>
      <c r="S179" s="6"/>
      <c r="T179" s="6"/>
      <c r="U179" s="7"/>
    </row>
    <row r="180" ht="13.75" customHeight="1">
      <c r="A180" s="5"/>
      <c r="B180" s="608">
        <v>161</v>
      </c>
      <c r="C180" s="609">
        <f>IF($B$20:$B$499&lt;&gt;"",DATE(YEAR($E$11),MONTH($E$11)+($B$20:$B$499)*12/$E$10,DAY($E$11)),"")</f>
        <v>50161</v>
      </c>
      <c r="D180" s="610">
        <f>IF($B$20:$B$499&lt;&gt;"",J179,"")</f>
        <v>1538089.9743537</v>
      </c>
      <c r="E180" s="610">
        <f>IF($B$20:$B$499&lt;&gt;"",$K$7,"")</f>
        <v>24114.8980934895</v>
      </c>
      <c r="F180" s="610">
        <f>IF(AND($B$20:$B$499&lt;&gt;"",$E$20:$E$499+$E$12&lt;$D$20:$D$499),$E$12,IF(AND($B$20:$B$499&lt;&gt;"",$D$20:$D$499-$E$20:$E$499&gt;0),$D$20:$D$499-$E$20:$E$499,IF($B$20:$B$499&lt;&gt;"",0,"")))</f>
        <v>0</v>
      </c>
      <c r="G180" s="610">
        <f>IF(AND($B$20:$B$499&lt;&gt;"",$E$20:$E$499+$F$20:$F$499&lt;$D$20:$D$499),$E$20:$E$499+$F$20:$F$499,IF($B$20:$B$499&lt;&gt;"",$D$20:$D$499,""))</f>
        <v>24114.8980934895</v>
      </c>
      <c r="H180" s="610">
        <f>IF($B$20:$B$499&lt;&gt;"",$G$20:$G$499-$I$20:$I$499,"")</f>
        <v>15142.7065764263</v>
      </c>
      <c r="I180" s="610">
        <f>IF($B$20:$B$499&lt;&gt;"",$D$20:$D$499*$E$8/$E$10,"")</f>
        <v>8972.191517063249</v>
      </c>
      <c r="J180" s="610">
        <f>IF(AND($B$20:$B$499&lt;&gt;"",$E$20:$E$499+$F$20:$F$499&lt;$D$20:$D$499),$D$20:$D$499-$H$20:$H$499,IF($B$20:$B$499&lt;&gt;"",0,""))</f>
        <v>1522947.26777727</v>
      </c>
      <c r="K180" s="610">
        <f>SUM($I$20:$I180)</f>
        <v>2295045.86082912</v>
      </c>
      <c r="L180" s="6"/>
      <c r="M180" s="6"/>
      <c r="N180" s="6"/>
      <c r="O180" s="6"/>
      <c r="P180" s="6"/>
      <c r="Q180" s="6"/>
      <c r="R180" s="6"/>
      <c r="S180" s="6"/>
      <c r="T180" s="6"/>
      <c r="U180" s="7"/>
    </row>
    <row r="181" ht="13.75" customHeight="1">
      <c r="A181" s="5"/>
      <c r="B181" s="608">
        <v>162</v>
      </c>
      <c r="C181" s="609">
        <f>IF($B$20:$B$499&lt;&gt;"",DATE(YEAR($E$11),MONTH($E$11)+($B$20:$B$499)*12/$E$10,DAY($E$11)),"")</f>
        <v>50192</v>
      </c>
      <c r="D181" s="610">
        <f>IF($B$20:$B$499&lt;&gt;"",J180,"")</f>
        <v>1522947.26777727</v>
      </c>
      <c r="E181" s="610">
        <f>IF($B$20:$B$499&lt;&gt;"",$K$7,"")</f>
        <v>24114.8980934895</v>
      </c>
      <c r="F181" s="610">
        <f>IF(AND($B$20:$B$499&lt;&gt;"",$E$20:$E$499+$E$12&lt;$D$20:$D$499),$E$12,IF(AND($B$20:$B$499&lt;&gt;"",$D$20:$D$499-$E$20:$E$499&gt;0),$D$20:$D$499-$E$20:$E$499,IF($B$20:$B$499&lt;&gt;"",0,"")))</f>
        <v>0</v>
      </c>
      <c r="G181" s="610">
        <f>IF(AND($B$20:$B$499&lt;&gt;"",$E$20:$E$499+$F$20:$F$499&lt;$D$20:$D$499),$E$20:$E$499+$F$20:$F$499,IF($B$20:$B$499&lt;&gt;"",$D$20:$D$499,""))</f>
        <v>24114.8980934895</v>
      </c>
      <c r="H181" s="610">
        <f>IF($B$20:$B$499&lt;&gt;"",$G$20:$G$499-$I$20:$I$499,"")</f>
        <v>15231.0390314554</v>
      </c>
      <c r="I181" s="610">
        <f>IF($B$20:$B$499&lt;&gt;"",$D$20:$D$499*$E$8/$E$10,"")</f>
        <v>8883.859062034080</v>
      </c>
      <c r="J181" s="610">
        <f>IF(AND($B$20:$B$499&lt;&gt;"",$E$20:$E$499+$F$20:$F$499&lt;$D$20:$D$499),$D$20:$D$499-$H$20:$H$499,IF($B$20:$B$499&lt;&gt;"",0,""))</f>
        <v>1507716.22874581</v>
      </c>
      <c r="K181" s="610">
        <f>SUM($I$20:$I181)</f>
        <v>2303929.71989115</v>
      </c>
      <c r="L181" s="6"/>
      <c r="M181" s="6"/>
      <c r="N181" s="6"/>
      <c r="O181" s="6"/>
      <c r="P181" s="6"/>
      <c r="Q181" s="6"/>
      <c r="R181" s="6"/>
      <c r="S181" s="6"/>
      <c r="T181" s="6"/>
      <c r="U181" s="7"/>
    </row>
    <row r="182" ht="13.75" customHeight="1">
      <c r="A182" s="5"/>
      <c r="B182" s="608">
        <v>163</v>
      </c>
      <c r="C182" s="609">
        <f>IF($B$20:$B$499&lt;&gt;"",DATE(YEAR($E$11),MONTH($E$11)+($B$20:$B$499)*12/$E$10,DAY($E$11)),"")</f>
        <v>50222</v>
      </c>
      <c r="D182" s="610">
        <f>IF($B$20:$B$499&lt;&gt;"",J181,"")</f>
        <v>1507716.22874581</v>
      </c>
      <c r="E182" s="610">
        <f>IF($B$20:$B$499&lt;&gt;"",$K$7,"")</f>
        <v>24114.8980934895</v>
      </c>
      <c r="F182" s="610">
        <f>IF(AND($B$20:$B$499&lt;&gt;"",$E$20:$E$499+$E$12&lt;$D$20:$D$499),$E$12,IF(AND($B$20:$B$499&lt;&gt;"",$D$20:$D$499-$E$20:$E$499&gt;0),$D$20:$D$499-$E$20:$E$499,IF($B$20:$B$499&lt;&gt;"",0,"")))</f>
        <v>0</v>
      </c>
      <c r="G182" s="610">
        <f>IF(AND($B$20:$B$499&lt;&gt;"",$E$20:$E$499+$F$20:$F$499&lt;$D$20:$D$499),$E$20:$E$499+$F$20:$F$499,IF($B$20:$B$499&lt;&gt;"",$D$20:$D$499,""))</f>
        <v>24114.8980934895</v>
      </c>
      <c r="H182" s="610">
        <f>IF($B$20:$B$499&lt;&gt;"",$G$20:$G$499-$I$20:$I$499,"")</f>
        <v>15319.8867591389</v>
      </c>
      <c r="I182" s="610">
        <f>IF($B$20:$B$499&lt;&gt;"",$D$20:$D$499*$E$8/$E$10,"")</f>
        <v>8795.011334350560</v>
      </c>
      <c r="J182" s="610">
        <f>IF(AND($B$20:$B$499&lt;&gt;"",$E$20:$E$499+$F$20:$F$499&lt;$D$20:$D$499),$D$20:$D$499-$H$20:$H$499,IF($B$20:$B$499&lt;&gt;"",0,""))</f>
        <v>1492396.34198667</v>
      </c>
      <c r="K182" s="610">
        <f>SUM($I$20:$I182)</f>
        <v>2312724.7312255</v>
      </c>
      <c r="L182" s="6"/>
      <c r="M182" s="6"/>
      <c r="N182" s="6"/>
      <c r="O182" s="6"/>
      <c r="P182" s="6"/>
      <c r="Q182" s="6"/>
      <c r="R182" s="6"/>
      <c r="S182" s="6"/>
      <c r="T182" s="6"/>
      <c r="U182" s="7"/>
    </row>
    <row r="183" ht="13.75" customHeight="1">
      <c r="A183" s="5"/>
      <c r="B183" s="608">
        <v>164</v>
      </c>
      <c r="C183" s="609">
        <f>IF($B$20:$B$499&lt;&gt;"",DATE(YEAR($E$11),MONTH($E$11)+($B$20:$B$499)*12/$E$10,DAY($E$11)),"")</f>
        <v>50253</v>
      </c>
      <c r="D183" s="610">
        <f>IF($B$20:$B$499&lt;&gt;"",J182,"")</f>
        <v>1492396.34198667</v>
      </c>
      <c r="E183" s="610">
        <f>IF($B$20:$B$499&lt;&gt;"",$K$7,"")</f>
        <v>24114.8980934895</v>
      </c>
      <c r="F183" s="610">
        <f>IF(AND($B$20:$B$499&lt;&gt;"",$E$20:$E$499+$E$12&lt;$D$20:$D$499),$E$12,IF(AND($B$20:$B$499&lt;&gt;"",$D$20:$D$499-$E$20:$E$499&gt;0),$D$20:$D$499-$E$20:$E$499,IF($B$20:$B$499&lt;&gt;"",0,"")))</f>
        <v>0</v>
      </c>
      <c r="G183" s="610">
        <f>IF(AND($B$20:$B$499&lt;&gt;"",$E$20:$E$499+$F$20:$F$499&lt;$D$20:$D$499),$E$20:$E$499+$F$20:$F$499,IF($B$20:$B$499&lt;&gt;"",$D$20:$D$499,""))</f>
        <v>24114.8980934895</v>
      </c>
      <c r="H183" s="610">
        <f>IF($B$20:$B$499&lt;&gt;"",$G$20:$G$499-$I$20:$I$499,"")</f>
        <v>15409.2527652339</v>
      </c>
      <c r="I183" s="610">
        <f>IF($B$20:$B$499&lt;&gt;"",$D$20:$D$499*$E$8/$E$10,"")</f>
        <v>8705.645328255579</v>
      </c>
      <c r="J183" s="610">
        <f>IF(AND($B$20:$B$499&lt;&gt;"",$E$20:$E$499+$F$20:$F$499&lt;$D$20:$D$499),$D$20:$D$499-$H$20:$H$499,IF($B$20:$B$499&lt;&gt;"",0,""))</f>
        <v>1476987.08922144</v>
      </c>
      <c r="K183" s="610">
        <f>SUM($I$20:$I183)</f>
        <v>2321430.37655376</v>
      </c>
      <c r="L183" s="6"/>
      <c r="M183" s="6"/>
      <c r="N183" s="6"/>
      <c r="O183" s="6"/>
      <c r="P183" s="6"/>
      <c r="Q183" s="6"/>
      <c r="R183" s="6"/>
      <c r="S183" s="6"/>
      <c r="T183" s="6"/>
      <c r="U183" s="7"/>
    </row>
    <row r="184" ht="13.75" customHeight="1">
      <c r="A184" s="5"/>
      <c r="B184" s="608">
        <v>165</v>
      </c>
      <c r="C184" s="609">
        <f>IF($B$20:$B$499&lt;&gt;"",DATE(YEAR($E$11),MONTH($E$11)+($B$20:$B$499)*12/$E$10,DAY($E$11)),"")</f>
        <v>50284</v>
      </c>
      <c r="D184" s="610">
        <f>IF($B$20:$B$499&lt;&gt;"",J183,"")</f>
        <v>1476987.08922144</v>
      </c>
      <c r="E184" s="610">
        <f>IF($B$20:$B$499&lt;&gt;"",$K$7,"")</f>
        <v>24114.8980934895</v>
      </c>
      <c r="F184" s="610">
        <f>IF(AND($B$20:$B$499&lt;&gt;"",$E$20:$E$499+$E$12&lt;$D$20:$D$499),$E$12,IF(AND($B$20:$B$499&lt;&gt;"",$D$20:$D$499-$E$20:$E$499&gt;0),$D$20:$D$499-$E$20:$E$499,IF($B$20:$B$499&lt;&gt;"",0,"")))</f>
        <v>0</v>
      </c>
      <c r="G184" s="610">
        <f>IF(AND($B$20:$B$499&lt;&gt;"",$E$20:$E$499+$F$20:$F$499&lt;$D$20:$D$499),$E$20:$E$499+$F$20:$F$499,IF($B$20:$B$499&lt;&gt;"",$D$20:$D$499,""))</f>
        <v>24114.8980934895</v>
      </c>
      <c r="H184" s="610">
        <f>IF($B$20:$B$499&lt;&gt;"",$G$20:$G$499-$I$20:$I$499,"")</f>
        <v>15499.1400730311</v>
      </c>
      <c r="I184" s="610">
        <f>IF($B$20:$B$499&lt;&gt;"",$D$20:$D$499*$E$8/$E$10,"")</f>
        <v>8615.758020458399</v>
      </c>
      <c r="J184" s="610">
        <f>IF(AND($B$20:$B$499&lt;&gt;"",$E$20:$E$499+$F$20:$F$499&lt;$D$20:$D$499),$D$20:$D$499-$H$20:$H$499,IF($B$20:$B$499&lt;&gt;"",0,""))</f>
        <v>1461487.94914841</v>
      </c>
      <c r="K184" s="610">
        <f>SUM($I$20:$I184)</f>
        <v>2330046.13457422</v>
      </c>
      <c r="L184" s="6"/>
      <c r="M184" s="6"/>
      <c r="N184" s="6"/>
      <c r="O184" s="6"/>
      <c r="P184" s="6"/>
      <c r="Q184" s="6"/>
      <c r="R184" s="6"/>
      <c r="S184" s="6"/>
      <c r="T184" s="6"/>
      <c r="U184" s="7"/>
    </row>
    <row r="185" ht="13.75" customHeight="1">
      <c r="A185" s="5"/>
      <c r="B185" s="608">
        <v>166</v>
      </c>
      <c r="C185" s="609">
        <f>IF($B$20:$B$499&lt;&gt;"",DATE(YEAR($E$11),MONTH($E$11)+($B$20:$B$499)*12/$E$10,DAY($E$11)),"")</f>
        <v>50314</v>
      </c>
      <c r="D185" s="610">
        <f>IF($B$20:$B$499&lt;&gt;"",J184,"")</f>
        <v>1461487.94914841</v>
      </c>
      <c r="E185" s="610">
        <f>IF($B$20:$B$499&lt;&gt;"",$K$7,"")</f>
        <v>24114.8980934895</v>
      </c>
      <c r="F185" s="610">
        <f>IF(AND($B$20:$B$499&lt;&gt;"",$E$20:$E$499+$E$12&lt;$D$20:$D$499),$E$12,IF(AND($B$20:$B$499&lt;&gt;"",$D$20:$D$499-$E$20:$E$499&gt;0),$D$20:$D$499-$E$20:$E$499,IF($B$20:$B$499&lt;&gt;"",0,"")))</f>
        <v>0</v>
      </c>
      <c r="G185" s="610">
        <f>IF(AND($B$20:$B$499&lt;&gt;"",$E$20:$E$499+$F$20:$F$499&lt;$D$20:$D$499),$E$20:$E$499+$F$20:$F$499,IF($B$20:$B$499&lt;&gt;"",$D$20:$D$499,""))</f>
        <v>24114.8980934895</v>
      </c>
      <c r="H185" s="610">
        <f>IF($B$20:$B$499&lt;&gt;"",$G$20:$G$499-$I$20:$I$499,"")</f>
        <v>15589.5517234571</v>
      </c>
      <c r="I185" s="610">
        <f>IF($B$20:$B$499&lt;&gt;"",$D$20:$D$499*$E$8/$E$10,"")</f>
        <v>8525.346370032390</v>
      </c>
      <c r="J185" s="610">
        <f>IF(AND($B$20:$B$499&lt;&gt;"",$E$20:$E$499+$F$20:$F$499&lt;$D$20:$D$499),$D$20:$D$499-$H$20:$H$499,IF($B$20:$B$499&lt;&gt;"",0,""))</f>
        <v>1445898.39742495</v>
      </c>
      <c r="K185" s="610">
        <f>SUM($I$20:$I185)</f>
        <v>2338571.48094425</v>
      </c>
      <c r="L185" s="6"/>
      <c r="M185" s="6"/>
      <c r="N185" s="6"/>
      <c r="O185" s="6"/>
      <c r="P185" s="6"/>
      <c r="Q185" s="6"/>
      <c r="R185" s="6"/>
      <c r="S185" s="6"/>
      <c r="T185" s="6"/>
      <c r="U185" s="7"/>
    </row>
    <row r="186" ht="13.75" customHeight="1">
      <c r="A186" s="5"/>
      <c r="B186" s="608">
        <v>167</v>
      </c>
      <c r="C186" s="609">
        <f>IF($B$20:$B$499&lt;&gt;"",DATE(YEAR($E$11),MONTH($E$11)+($B$20:$B$499)*12/$E$10,DAY($E$11)),"")</f>
        <v>50345</v>
      </c>
      <c r="D186" s="610">
        <f>IF($B$20:$B$499&lt;&gt;"",J185,"")</f>
        <v>1445898.39742495</v>
      </c>
      <c r="E186" s="610">
        <f>IF($B$20:$B$499&lt;&gt;"",$K$7,"")</f>
        <v>24114.8980934895</v>
      </c>
      <c r="F186" s="610">
        <f>IF(AND($B$20:$B$499&lt;&gt;"",$E$20:$E$499+$E$12&lt;$D$20:$D$499),$E$12,IF(AND($B$20:$B$499&lt;&gt;"",$D$20:$D$499-$E$20:$E$499&gt;0),$D$20:$D$499-$E$20:$E$499,IF($B$20:$B$499&lt;&gt;"",0,"")))</f>
        <v>0</v>
      </c>
      <c r="G186" s="610">
        <f>IF(AND($B$20:$B$499&lt;&gt;"",$E$20:$E$499+$F$20:$F$499&lt;$D$20:$D$499),$E$20:$E$499+$F$20:$F$499,IF($B$20:$B$499&lt;&gt;"",$D$20:$D$499,""))</f>
        <v>24114.8980934895</v>
      </c>
      <c r="H186" s="610">
        <f>IF($B$20:$B$499&lt;&gt;"",$G$20:$G$499-$I$20:$I$499,"")</f>
        <v>15680.4907751773</v>
      </c>
      <c r="I186" s="610">
        <f>IF($B$20:$B$499&lt;&gt;"",$D$20:$D$499*$E$8/$E$10,"")</f>
        <v>8434.407318312209</v>
      </c>
      <c r="J186" s="610">
        <f>IF(AND($B$20:$B$499&lt;&gt;"",$E$20:$E$499+$F$20:$F$499&lt;$D$20:$D$499),$D$20:$D$499-$H$20:$H$499,IF($B$20:$B$499&lt;&gt;"",0,""))</f>
        <v>1430217.90664977</v>
      </c>
      <c r="K186" s="610">
        <f>SUM($I$20:$I186)</f>
        <v>2347005.88826256</v>
      </c>
      <c r="L186" s="6"/>
      <c r="M186" s="6"/>
      <c r="N186" s="6"/>
      <c r="O186" s="6"/>
      <c r="P186" s="6"/>
      <c r="Q186" s="6"/>
      <c r="R186" s="6"/>
      <c r="S186" s="6"/>
      <c r="T186" s="6"/>
      <c r="U186" s="7"/>
    </row>
    <row r="187" ht="13.75" customHeight="1">
      <c r="A187" s="5"/>
      <c r="B187" s="608">
        <v>168</v>
      </c>
      <c r="C187" s="609">
        <f>IF($B$20:$B$499&lt;&gt;"",DATE(YEAR($E$11),MONTH($E$11)+($B$20:$B$499)*12/$E$10,DAY($E$11)),"")</f>
        <v>50375</v>
      </c>
      <c r="D187" s="610">
        <f>IF($B$20:$B$499&lt;&gt;"",J186,"")</f>
        <v>1430217.90664977</v>
      </c>
      <c r="E187" s="610">
        <f>IF($B$20:$B$499&lt;&gt;"",$K$7,"")</f>
        <v>24114.8980934895</v>
      </c>
      <c r="F187" s="610">
        <f>IF(AND($B$20:$B$499&lt;&gt;"",$E$20:$E$499+$E$12&lt;$D$20:$D$499),$E$12,IF(AND($B$20:$B$499&lt;&gt;"",$D$20:$D$499-$E$20:$E$499&gt;0),$D$20:$D$499-$E$20:$E$499,IF($B$20:$B$499&lt;&gt;"",0,"")))</f>
        <v>0</v>
      </c>
      <c r="G187" s="610">
        <f>IF(AND($B$20:$B$499&lt;&gt;"",$E$20:$E$499+$F$20:$F$499&lt;$D$20:$D$499),$E$20:$E$499+$F$20:$F$499,IF($B$20:$B$499&lt;&gt;"",$D$20:$D$499,""))</f>
        <v>24114.8980934895</v>
      </c>
      <c r="H187" s="610">
        <f>IF($B$20:$B$499&lt;&gt;"",$G$20:$G$499-$I$20:$I$499,"")</f>
        <v>15771.9603046992</v>
      </c>
      <c r="I187" s="610">
        <f>IF($B$20:$B$499&lt;&gt;"",$D$20:$D$499*$E$8/$E$10,"")</f>
        <v>8342.937788790330</v>
      </c>
      <c r="J187" s="610">
        <f>IF(AND($B$20:$B$499&lt;&gt;"",$E$20:$E$499+$F$20:$F$499&lt;$D$20:$D$499),$D$20:$D$499-$H$20:$H$499,IF($B$20:$B$499&lt;&gt;"",0,""))</f>
        <v>1414445.94634507</v>
      </c>
      <c r="K187" s="610">
        <f>SUM($I$20:$I187)</f>
        <v>2355348.82605135</v>
      </c>
      <c r="L187" s="6"/>
      <c r="M187" s="6"/>
      <c r="N187" s="6"/>
      <c r="O187" s="6"/>
      <c r="P187" s="6"/>
      <c r="Q187" s="6"/>
      <c r="R187" s="6"/>
      <c r="S187" s="6"/>
      <c r="T187" s="6"/>
      <c r="U187" s="7"/>
    </row>
    <row r="188" ht="13.75" customHeight="1">
      <c r="A188" s="5"/>
      <c r="B188" s="608">
        <v>169</v>
      </c>
      <c r="C188" s="609">
        <f>IF($B$20:$B$499&lt;&gt;"",DATE(YEAR($E$11),MONTH($E$11)+($B$20:$B$499)*12/$E$10,DAY($E$11)),"")</f>
        <v>50406</v>
      </c>
      <c r="D188" s="610">
        <f>IF($B$20:$B$499&lt;&gt;"",J187,"")</f>
        <v>1414445.94634507</v>
      </c>
      <c r="E188" s="610">
        <f>IF($B$20:$B$499&lt;&gt;"",$K$7,"")</f>
        <v>24114.8980934895</v>
      </c>
      <c r="F188" s="610">
        <f>IF(AND($B$20:$B$499&lt;&gt;"",$E$20:$E$499+$E$12&lt;$D$20:$D$499),$E$12,IF(AND($B$20:$B$499&lt;&gt;"",$D$20:$D$499-$E$20:$E$499&gt;0),$D$20:$D$499-$E$20:$E$499,IF($B$20:$B$499&lt;&gt;"",0,"")))</f>
        <v>0</v>
      </c>
      <c r="G188" s="610">
        <f>IF(AND($B$20:$B$499&lt;&gt;"",$E$20:$E$499+$F$20:$F$499&lt;$D$20:$D$499),$E$20:$E$499+$F$20:$F$499,IF($B$20:$B$499&lt;&gt;"",$D$20:$D$499,""))</f>
        <v>24114.8980934895</v>
      </c>
      <c r="H188" s="610">
        <f>IF($B$20:$B$499&lt;&gt;"",$G$20:$G$499-$I$20:$I$499,"")</f>
        <v>15863.9634064766</v>
      </c>
      <c r="I188" s="610">
        <f>IF($B$20:$B$499&lt;&gt;"",$D$20:$D$499*$E$8/$E$10,"")</f>
        <v>8250.934687012910</v>
      </c>
      <c r="J188" s="610">
        <f>IF(AND($B$20:$B$499&lt;&gt;"",$E$20:$E$499+$F$20:$F$499&lt;$D$20:$D$499),$D$20:$D$499-$H$20:$H$499,IF($B$20:$B$499&lt;&gt;"",0,""))</f>
        <v>1398581.98293859</v>
      </c>
      <c r="K188" s="610">
        <f>SUM($I$20:$I188)</f>
        <v>2363599.76073836</v>
      </c>
      <c r="L188" s="6"/>
      <c r="M188" s="6"/>
      <c r="N188" s="6"/>
      <c r="O188" s="6"/>
      <c r="P188" s="6"/>
      <c r="Q188" s="6"/>
      <c r="R188" s="6"/>
      <c r="S188" s="6"/>
      <c r="T188" s="6"/>
      <c r="U188" s="7"/>
    </row>
    <row r="189" ht="13.75" customHeight="1">
      <c r="A189" s="5"/>
      <c r="B189" s="608">
        <v>170</v>
      </c>
      <c r="C189" s="609">
        <f>IF($B$20:$B$499&lt;&gt;"",DATE(YEAR($E$11),MONTH($E$11)+($B$20:$B$499)*12/$E$10,DAY($E$11)),"")</f>
        <v>50437</v>
      </c>
      <c r="D189" s="610">
        <f>IF($B$20:$B$499&lt;&gt;"",J188,"")</f>
        <v>1398581.98293859</v>
      </c>
      <c r="E189" s="610">
        <f>IF($B$20:$B$499&lt;&gt;"",$K$7,"")</f>
        <v>24114.8980934895</v>
      </c>
      <c r="F189" s="610">
        <f>IF(AND($B$20:$B$499&lt;&gt;"",$E$20:$E$499+$E$12&lt;$D$20:$D$499),$E$12,IF(AND($B$20:$B$499&lt;&gt;"",$D$20:$D$499-$E$20:$E$499&gt;0),$D$20:$D$499-$E$20:$E$499,IF($B$20:$B$499&lt;&gt;"",0,"")))</f>
        <v>0</v>
      </c>
      <c r="G189" s="610">
        <f>IF(AND($B$20:$B$499&lt;&gt;"",$E$20:$E$499+$F$20:$F$499&lt;$D$20:$D$499),$E$20:$E$499+$F$20:$F$499,IF($B$20:$B$499&lt;&gt;"",$D$20:$D$499,""))</f>
        <v>24114.8980934895</v>
      </c>
      <c r="H189" s="610">
        <f>IF($B$20:$B$499&lt;&gt;"",$G$20:$G$499-$I$20:$I$499,"")</f>
        <v>15956.5031930144</v>
      </c>
      <c r="I189" s="610">
        <f>IF($B$20:$B$499&lt;&gt;"",$D$20:$D$499*$E$8/$E$10,"")</f>
        <v>8158.394900475110</v>
      </c>
      <c r="J189" s="610">
        <f>IF(AND($B$20:$B$499&lt;&gt;"",$E$20:$E$499+$F$20:$F$499&lt;$D$20:$D$499),$D$20:$D$499-$H$20:$H$499,IF($B$20:$B$499&lt;&gt;"",0,""))</f>
        <v>1382625.47974558</v>
      </c>
      <c r="K189" s="610">
        <f>SUM($I$20:$I189)</f>
        <v>2371758.15563884</v>
      </c>
      <c r="L189" s="6"/>
      <c r="M189" s="6"/>
      <c r="N189" s="6"/>
      <c r="O189" s="6"/>
      <c r="P189" s="6"/>
      <c r="Q189" s="6"/>
      <c r="R189" s="6"/>
      <c r="S189" s="6"/>
      <c r="T189" s="6"/>
      <c r="U189" s="7"/>
    </row>
    <row r="190" ht="13.75" customHeight="1">
      <c r="A190" s="5"/>
      <c r="B190" s="608">
        <v>171</v>
      </c>
      <c r="C190" s="609">
        <f>IF($B$20:$B$499&lt;&gt;"",DATE(YEAR($E$11),MONTH($E$11)+($B$20:$B$499)*12/$E$10,DAY($E$11)),"")</f>
        <v>50465</v>
      </c>
      <c r="D190" s="610">
        <f>IF($B$20:$B$499&lt;&gt;"",J189,"")</f>
        <v>1382625.47974558</v>
      </c>
      <c r="E190" s="610">
        <f>IF($B$20:$B$499&lt;&gt;"",$K$7,"")</f>
        <v>24114.8980934895</v>
      </c>
      <c r="F190" s="610">
        <f>IF(AND($B$20:$B$499&lt;&gt;"",$E$20:$E$499+$E$12&lt;$D$20:$D$499),$E$12,IF(AND($B$20:$B$499&lt;&gt;"",$D$20:$D$499-$E$20:$E$499&gt;0),$D$20:$D$499-$E$20:$E$499,IF($B$20:$B$499&lt;&gt;"",0,"")))</f>
        <v>0</v>
      </c>
      <c r="G190" s="610">
        <f>IF(AND($B$20:$B$499&lt;&gt;"",$E$20:$E$499+$F$20:$F$499&lt;$D$20:$D$499),$E$20:$E$499+$F$20:$F$499,IF($B$20:$B$499&lt;&gt;"",$D$20:$D$499,""))</f>
        <v>24114.8980934895</v>
      </c>
      <c r="H190" s="610">
        <f>IF($B$20:$B$499&lt;&gt;"",$G$20:$G$499-$I$20:$I$499,"")</f>
        <v>16049.5827949736</v>
      </c>
      <c r="I190" s="610">
        <f>IF($B$20:$B$499&lt;&gt;"",$D$20:$D$499*$E$8/$E$10,"")</f>
        <v>8065.315298515880</v>
      </c>
      <c r="J190" s="610">
        <f>IF(AND($B$20:$B$499&lt;&gt;"",$E$20:$E$499+$F$20:$F$499&lt;$D$20:$D$499),$D$20:$D$499-$H$20:$H$499,IF($B$20:$B$499&lt;&gt;"",0,""))</f>
        <v>1366575.89695061</v>
      </c>
      <c r="K190" s="610">
        <f>SUM($I$20:$I190)</f>
        <v>2379823.47093735</v>
      </c>
      <c r="L190" s="6"/>
      <c r="M190" s="6"/>
      <c r="N190" s="6"/>
      <c r="O190" s="6"/>
      <c r="P190" s="6"/>
      <c r="Q190" s="6"/>
      <c r="R190" s="6"/>
      <c r="S190" s="6"/>
      <c r="T190" s="6"/>
      <c r="U190" s="7"/>
    </row>
    <row r="191" ht="13.75" customHeight="1">
      <c r="A191" s="5"/>
      <c r="B191" s="608">
        <v>172</v>
      </c>
      <c r="C191" s="609">
        <f>IF($B$20:$B$499&lt;&gt;"",DATE(YEAR($E$11),MONTH($E$11)+($B$20:$B$499)*12/$E$10,DAY($E$11)),"")</f>
        <v>50496</v>
      </c>
      <c r="D191" s="610">
        <f>IF($B$20:$B$499&lt;&gt;"",J190,"")</f>
        <v>1366575.89695061</v>
      </c>
      <c r="E191" s="610">
        <f>IF($B$20:$B$499&lt;&gt;"",$K$7,"")</f>
        <v>24114.8980934895</v>
      </c>
      <c r="F191" s="610">
        <f>IF(AND($B$20:$B$499&lt;&gt;"",$E$20:$E$499+$E$12&lt;$D$20:$D$499),$E$12,IF(AND($B$20:$B$499&lt;&gt;"",$D$20:$D$499-$E$20:$E$499&gt;0),$D$20:$D$499-$E$20:$E$499,IF($B$20:$B$499&lt;&gt;"",0,"")))</f>
        <v>0</v>
      </c>
      <c r="G191" s="610">
        <f>IF(AND($B$20:$B$499&lt;&gt;"",$E$20:$E$499+$F$20:$F$499&lt;$D$20:$D$499),$E$20:$E$499+$F$20:$F$499,IF($B$20:$B$499&lt;&gt;"",$D$20:$D$499,""))</f>
        <v>24114.8980934895</v>
      </c>
      <c r="H191" s="610">
        <f>IF($B$20:$B$499&lt;&gt;"",$G$20:$G$499-$I$20:$I$499,"")</f>
        <v>16143.2053612776</v>
      </c>
      <c r="I191" s="610">
        <f>IF($B$20:$B$499&lt;&gt;"",$D$20:$D$499*$E$8/$E$10,"")</f>
        <v>7971.692732211890</v>
      </c>
      <c r="J191" s="610">
        <f>IF(AND($B$20:$B$499&lt;&gt;"",$E$20:$E$499+$F$20:$F$499&lt;$D$20:$D$499),$D$20:$D$499-$H$20:$H$499,IF($B$20:$B$499&lt;&gt;"",0,""))</f>
        <v>1350432.69158933</v>
      </c>
      <c r="K191" s="610">
        <f>SUM($I$20:$I191)</f>
        <v>2387795.16366957</v>
      </c>
      <c r="L191" s="6"/>
      <c r="M191" s="6"/>
      <c r="N191" s="6"/>
      <c r="O191" s="6"/>
      <c r="P191" s="6"/>
      <c r="Q191" s="6"/>
      <c r="R191" s="6"/>
      <c r="S191" s="6"/>
      <c r="T191" s="6"/>
      <c r="U191" s="7"/>
    </row>
    <row r="192" ht="13.75" customHeight="1">
      <c r="A192" s="5"/>
      <c r="B192" s="608">
        <v>173</v>
      </c>
      <c r="C192" s="609">
        <f>IF($B$20:$B$499&lt;&gt;"",DATE(YEAR($E$11),MONTH($E$11)+($B$20:$B$499)*12/$E$10,DAY($E$11)),"")</f>
        <v>50526</v>
      </c>
      <c r="D192" s="610">
        <f>IF($B$20:$B$499&lt;&gt;"",J191,"")</f>
        <v>1350432.69158933</v>
      </c>
      <c r="E192" s="610">
        <f>IF($B$20:$B$499&lt;&gt;"",$K$7,"")</f>
        <v>24114.8980934895</v>
      </c>
      <c r="F192" s="610">
        <f>IF(AND($B$20:$B$499&lt;&gt;"",$E$20:$E$499+$E$12&lt;$D$20:$D$499),$E$12,IF(AND($B$20:$B$499&lt;&gt;"",$D$20:$D$499-$E$20:$E$499&gt;0),$D$20:$D$499-$E$20:$E$499,IF($B$20:$B$499&lt;&gt;"",0,"")))</f>
        <v>0</v>
      </c>
      <c r="G192" s="610">
        <f>IF(AND($B$20:$B$499&lt;&gt;"",$E$20:$E$499+$F$20:$F$499&lt;$D$20:$D$499),$E$20:$E$499+$F$20:$F$499,IF($B$20:$B$499&lt;&gt;"",$D$20:$D$499,""))</f>
        <v>24114.8980934895</v>
      </c>
      <c r="H192" s="610">
        <f>IF($B$20:$B$499&lt;&gt;"",$G$20:$G$499-$I$20:$I$499,"")</f>
        <v>16237.3740592184</v>
      </c>
      <c r="I192" s="610">
        <f>IF($B$20:$B$499&lt;&gt;"",$D$20:$D$499*$E$8/$E$10,"")</f>
        <v>7877.524034271090</v>
      </c>
      <c r="J192" s="610">
        <f>IF(AND($B$20:$B$499&lt;&gt;"",$E$20:$E$499+$F$20:$F$499&lt;$D$20:$D$499),$D$20:$D$499-$H$20:$H$499,IF($B$20:$B$499&lt;&gt;"",0,""))</f>
        <v>1334195.31753011</v>
      </c>
      <c r="K192" s="610">
        <f>SUM($I$20:$I192)</f>
        <v>2395672.68770384</v>
      </c>
      <c r="L192" s="6"/>
      <c r="M192" s="6"/>
      <c r="N192" s="6"/>
      <c r="O192" s="6"/>
      <c r="P192" s="6"/>
      <c r="Q192" s="6"/>
      <c r="R192" s="6"/>
      <c r="S192" s="6"/>
      <c r="T192" s="6"/>
      <c r="U192" s="7"/>
    </row>
    <row r="193" ht="13.75" customHeight="1">
      <c r="A193" s="5"/>
      <c r="B193" s="608">
        <v>174</v>
      </c>
      <c r="C193" s="609">
        <f>IF($B$20:$B$499&lt;&gt;"",DATE(YEAR($E$11),MONTH($E$11)+($B$20:$B$499)*12/$E$10,DAY($E$11)),"")</f>
        <v>50557</v>
      </c>
      <c r="D193" s="610">
        <f>IF($B$20:$B$499&lt;&gt;"",J192,"")</f>
        <v>1334195.31753011</v>
      </c>
      <c r="E193" s="610">
        <f>IF($B$20:$B$499&lt;&gt;"",$K$7,"")</f>
        <v>24114.8980934895</v>
      </c>
      <c r="F193" s="610">
        <f>IF(AND($B$20:$B$499&lt;&gt;"",$E$20:$E$499+$E$12&lt;$D$20:$D$499),$E$12,IF(AND($B$20:$B$499&lt;&gt;"",$D$20:$D$499-$E$20:$E$499&gt;0),$D$20:$D$499-$E$20:$E$499,IF($B$20:$B$499&lt;&gt;"",0,"")))</f>
        <v>0</v>
      </c>
      <c r="G193" s="610">
        <f>IF(AND($B$20:$B$499&lt;&gt;"",$E$20:$E$499+$F$20:$F$499&lt;$D$20:$D$499),$E$20:$E$499+$F$20:$F$499,IF($B$20:$B$499&lt;&gt;"",$D$20:$D$499,""))</f>
        <v>24114.8980934895</v>
      </c>
      <c r="H193" s="610">
        <f>IF($B$20:$B$499&lt;&gt;"",$G$20:$G$499-$I$20:$I$499,"")</f>
        <v>16332.0920745639</v>
      </c>
      <c r="I193" s="610">
        <f>IF($B$20:$B$499&lt;&gt;"",$D$20:$D$499*$E$8/$E$10,"")</f>
        <v>7782.806018925640</v>
      </c>
      <c r="J193" s="610">
        <f>IF(AND($B$20:$B$499&lt;&gt;"",$E$20:$E$499+$F$20:$F$499&lt;$D$20:$D$499),$D$20:$D$499-$H$20:$H$499,IF($B$20:$B$499&lt;&gt;"",0,""))</f>
        <v>1317863.22545555</v>
      </c>
      <c r="K193" s="610">
        <f>SUM($I$20:$I193)</f>
        <v>2403455.49372276</v>
      </c>
      <c r="L193" s="6"/>
      <c r="M193" s="6"/>
      <c r="N193" s="6"/>
      <c r="O193" s="6"/>
      <c r="P193" s="6"/>
      <c r="Q193" s="6"/>
      <c r="R193" s="6"/>
      <c r="S193" s="6"/>
      <c r="T193" s="6"/>
      <c r="U193" s="7"/>
    </row>
    <row r="194" ht="13.75" customHeight="1">
      <c r="A194" s="5"/>
      <c r="B194" s="608">
        <v>175</v>
      </c>
      <c r="C194" s="609">
        <f>IF($B$20:$B$499&lt;&gt;"",DATE(YEAR($E$11),MONTH($E$11)+($B$20:$B$499)*12/$E$10,DAY($E$11)),"")</f>
        <v>50587</v>
      </c>
      <c r="D194" s="610">
        <f>IF($B$20:$B$499&lt;&gt;"",J193,"")</f>
        <v>1317863.22545555</v>
      </c>
      <c r="E194" s="610">
        <f>IF($B$20:$B$499&lt;&gt;"",$K$7,"")</f>
        <v>24114.8980934895</v>
      </c>
      <c r="F194" s="610">
        <f>IF(AND($B$20:$B$499&lt;&gt;"",$E$20:$E$499+$E$12&lt;$D$20:$D$499),$E$12,IF(AND($B$20:$B$499&lt;&gt;"",$D$20:$D$499-$E$20:$E$499&gt;0),$D$20:$D$499-$E$20:$E$499,IF($B$20:$B$499&lt;&gt;"",0,"")))</f>
        <v>0</v>
      </c>
      <c r="G194" s="610">
        <f>IF(AND($B$20:$B$499&lt;&gt;"",$E$20:$E$499+$F$20:$F$499&lt;$D$20:$D$499),$E$20:$E$499+$F$20:$F$499,IF($B$20:$B$499&lt;&gt;"",$D$20:$D$499,""))</f>
        <v>24114.8980934895</v>
      </c>
      <c r="H194" s="610">
        <f>IF($B$20:$B$499&lt;&gt;"",$G$20:$G$499-$I$20:$I$499,"")</f>
        <v>16427.3626116655</v>
      </c>
      <c r="I194" s="610">
        <f>IF($B$20:$B$499&lt;&gt;"",$D$20:$D$499*$E$8/$E$10,"")</f>
        <v>7687.535481824040</v>
      </c>
      <c r="J194" s="610">
        <f>IF(AND($B$20:$B$499&lt;&gt;"",$E$20:$E$499+$F$20:$F$499&lt;$D$20:$D$499),$D$20:$D$499-$H$20:$H$499,IF($B$20:$B$499&lt;&gt;"",0,""))</f>
        <v>1301435.86284388</v>
      </c>
      <c r="K194" s="610">
        <f>SUM($I$20:$I194)</f>
        <v>2411143.02920459</v>
      </c>
      <c r="L194" s="6"/>
      <c r="M194" s="6"/>
      <c r="N194" s="6"/>
      <c r="O194" s="6"/>
      <c r="P194" s="6"/>
      <c r="Q194" s="6"/>
      <c r="R194" s="6"/>
      <c r="S194" s="6"/>
      <c r="T194" s="6"/>
      <c r="U194" s="7"/>
    </row>
    <row r="195" ht="13.75" customHeight="1">
      <c r="A195" s="5"/>
      <c r="B195" s="608">
        <v>176</v>
      </c>
      <c r="C195" s="609">
        <f>IF($B$20:$B$499&lt;&gt;"",DATE(YEAR($E$11),MONTH($E$11)+($B$20:$B$499)*12/$E$10,DAY($E$11)),"")</f>
        <v>50618</v>
      </c>
      <c r="D195" s="610">
        <f>IF($B$20:$B$499&lt;&gt;"",J194,"")</f>
        <v>1301435.86284388</v>
      </c>
      <c r="E195" s="610">
        <f>IF($B$20:$B$499&lt;&gt;"",$K$7,"")</f>
        <v>24114.8980934895</v>
      </c>
      <c r="F195" s="610">
        <f>IF(AND($B$20:$B$499&lt;&gt;"",$E$20:$E$499+$E$12&lt;$D$20:$D$499),$E$12,IF(AND($B$20:$B$499&lt;&gt;"",$D$20:$D$499-$E$20:$E$499&gt;0),$D$20:$D$499-$E$20:$E$499,IF($B$20:$B$499&lt;&gt;"",0,"")))</f>
        <v>0</v>
      </c>
      <c r="G195" s="610">
        <f>IF(AND($B$20:$B$499&lt;&gt;"",$E$20:$E$499+$F$20:$F$499&lt;$D$20:$D$499),$E$20:$E$499+$F$20:$F$499,IF($B$20:$B$499&lt;&gt;"",$D$20:$D$499,""))</f>
        <v>24114.8980934895</v>
      </c>
      <c r="H195" s="610">
        <f>IF($B$20:$B$499&lt;&gt;"",$G$20:$G$499-$I$20:$I$499,"")</f>
        <v>16523.1888935669</v>
      </c>
      <c r="I195" s="610">
        <f>IF($B$20:$B$499&lt;&gt;"",$D$20:$D$499*$E$8/$E$10,"")</f>
        <v>7591.709199922630</v>
      </c>
      <c r="J195" s="610">
        <f>IF(AND($B$20:$B$499&lt;&gt;"",$E$20:$E$499+$F$20:$F$499&lt;$D$20:$D$499),$D$20:$D$499-$H$20:$H$499,IF($B$20:$B$499&lt;&gt;"",0,""))</f>
        <v>1284912.67395031</v>
      </c>
      <c r="K195" s="610">
        <f>SUM($I$20:$I195)</f>
        <v>2418734.73840451</v>
      </c>
      <c r="L195" s="6"/>
      <c r="M195" s="6"/>
      <c r="N195" s="6"/>
      <c r="O195" s="6"/>
      <c r="P195" s="6"/>
      <c r="Q195" s="6"/>
      <c r="R195" s="6"/>
      <c r="S195" s="6"/>
      <c r="T195" s="6"/>
      <c r="U195" s="7"/>
    </row>
    <row r="196" ht="13.75" customHeight="1">
      <c r="A196" s="5"/>
      <c r="B196" s="608">
        <v>177</v>
      </c>
      <c r="C196" s="609">
        <f>IF($B$20:$B$499&lt;&gt;"",DATE(YEAR($E$11),MONTH($E$11)+($B$20:$B$499)*12/$E$10,DAY($E$11)),"")</f>
        <v>50649</v>
      </c>
      <c r="D196" s="610">
        <f>IF($B$20:$B$499&lt;&gt;"",J195,"")</f>
        <v>1284912.67395031</v>
      </c>
      <c r="E196" s="610">
        <f>IF($B$20:$B$499&lt;&gt;"",$K$7,"")</f>
        <v>24114.8980934895</v>
      </c>
      <c r="F196" s="610">
        <f>IF(AND($B$20:$B$499&lt;&gt;"",$E$20:$E$499+$E$12&lt;$D$20:$D$499),$E$12,IF(AND($B$20:$B$499&lt;&gt;"",$D$20:$D$499-$E$20:$E$499&gt;0),$D$20:$D$499-$E$20:$E$499,IF($B$20:$B$499&lt;&gt;"",0,"")))</f>
        <v>0</v>
      </c>
      <c r="G196" s="610">
        <f>IF(AND($B$20:$B$499&lt;&gt;"",$E$20:$E$499+$F$20:$F$499&lt;$D$20:$D$499),$E$20:$E$499+$F$20:$F$499,IF($B$20:$B$499&lt;&gt;"",$D$20:$D$499,""))</f>
        <v>24114.8980934895</v>
      </c>
      <c r="H196" s="610">
        <f>IF($B$20:$B$499&lt;&gt;"",$G$20:$G$499-$I$20:$I$499,"")</f>
        <v>16619.5741621127</v>
      </c>
      <c r="I196" s="610">
        <f>IF($B$20:$B$499&lt;&gt;"",$D$20:$D$499*$E$8/$E$10,"")</f>
        <v>7495.323931376810</v>
      </c>
      <c r="J196" s="610">
        <f>IF(AND($B$20:$B$499&lt;&gt;"",$E$20:$E$499+$F$20:$F$499&lt;$D$20:$D$499),$D$20:$D$499-$H$20:$H$499,IF($B$20:$B$499&lt;&gt;"",0,""))</f>
        <v>1268293.0997882</v>
      </c>
      <c r="K196" s="610">
        <f>SUM($I$20:$I196)</f>
        <v>2426230.06233589</v>
      </c>
      <c r="L196" s="6"/>
      <c r="M196" s="6"/>
      <c r="N196" s="6"/>
      <c r="O196" s="6"/>
      <c r="P196" s="6"/>
      <c r="Q196" s="6"/>
      <c r="R196" s="6"/>
      <c r="S196" s="6"/>
      <c r="T196" s="6"/>
      <c r="U196" s="7"/>
    </row>
    <row r="197" ht="13.75" customHeight="1">
      <c r="A197" s="5"/>
      <c r="B197" s="608">
        <v>178</v>
      </c>
      <c r="C197" s="609">
        <f>IF($B$20:$B$499&lt;&gt;"",DATE(YEAR($E$11),MONTH($E$11)+($B$20:$B$499)*12/$E$10,DAY($E$11)),"")</f>
        <v>50679</v>
      </c>
      <c r="D197" s="610">
        <f>IF($B$20:$B$499&lt;&gt;"",J196,"")</f>
        <v>1268293.0997882</v>
      </c>
      <c r="E197" s="610">
        <f>IF($B$20:$B$499&lt;&gt;"",$K$7,"")</f>
        <v>24114.8980934895</v>
      </c>
      <c r="F197" s="610">
        <f>IF(AND($B$20:$B$499&lt;&gt;"",$E$20:$E$499+$E$12&lt;$D$20:$D$499),$E$12,IF(AND($B$20:$B$499&lt;&gt;"",$D$20:$D$499-$E$20:$E$499&gt;0),$D$20:$D$499-$E$20:$E$499,IF($B$20:$B$499&lt;&gt;"",0,"")))</f>
        <v>0</v>
      </c>
      <c r="G197" s="610">
        <f>IF(AND($B$20:$B$499&lt;&gt;"",$E$20:$E$499+$F$20:$F$499&lt;$D$20:$D$499),$E$20:$E$499+$F$20:$F$499,IF($B$20:$B$499&lt;&gt;"",$D$20:$D$499,""))</f>
        <v>24114.8980934895</v>
      </c>
      <c r="H197" s="610">
        <f>IF($B$20:$B$499&lt;&gt;"",$G$20:$G$499-$I$20:$I$499,"")</f>
        <v>16716.5216780583</v>
      </c>
      <c r="I197" s="610">
        <f>IF($B$20:$B$499&lt;&gt;"",$D$20:$D$499*$E$8/$E$10,"")</f>
        <v>7398.376415431170</v>
      </c>
      <c r="J197" s="610">
        <f>IF(AND($B$20:$B$499&lt;&gt;"",$E$20:$E$499+$F$20:$F$499&lt;$D$20:$D$499),$D$20:$D$499-$H$20:$H$499,IF($B$20:$B$499&lt;&gt;"",0,""))</f>
        <v>1251576.57811014</v>
      </c>
      <c r="K197" s="610">
        <f>SUM($I$20:$I197)</f>
        <v>2433628.43875132</v>
      </c>
      <c r="L197" s="6"/>
      <c r="M197" s="6"/>
      <c r="N197" s="6"/>
      <c r="O197" s="6"/>
      <c r="P197" s="6"/>
      <c r="Q197" s="6"/>
      <c r="R197" s="6"/>
      <c r="S197" s="6"/>
      <c r="T197" s="6"/>
      <c r="U197" s="7"/>
    </row>
    <row r="198" ht="13.75" customHeight="1">
      <c r="A198" s="5"/>
      <c r="B198" s="608">
        <v>179</v>
      </c>
      <c r="C198" s="609">
        <f>IF($B$20:$B$499&lt;&gt;"",DATE(YEAR($E$11),MONTH($E$11)+($B$20:$B$499)*12/$E$10,DAY($E$11)),"")</f>
        <v>50710</v>
      </c>
      <c r="D198" s="610">
        <f>IF($B$20:$B$499&lt;&gt;"",J197,"")</f>
        <v>1251576.57811014</v>
      </c>
      <c r="E198" s="610">
        <f>IF($B$20:$B$499&lt;&gt;"",$K$7,"")</f>
        <v>24114.8980934895</v>
      </c>
      <c r="F198" s="610">
        <f>IF(AND($B$20:$B$499&lt;&gt;"",$E$20:$E$499+$E$12&lt;$D$20:$D$499),$E$12,IF(AND($B$20:$B$499&lt;&gt;"",$D$20:$D$499-$E$20:$E$499&gt;0),$D$20:$D$499-$E$20:$E$499,IF($B$20:$B$499&lt;&gt;"",0,"")))</f>
        <v>0</v>
      </c>
      <c r="G198" s="610">
        <f>IF(AND($B$20:$B$499&lt;&gt;"",$E$20:$E$499+$F$20:$F$499&lt;$D$20:$D$499),$E$20:$E$499+$F$20:$F$499,IF($B$20:$B$499&lt;&gt;"",$D$20:$D$499,""))</f>
        <v>24114.8980934895</v>
      </c>
      <c r="H198" s="610">
        <f>IF($B$20:$B$499&lt;&gt;"",$G$20:$G$499-$I$20:$I$499,"")</f>
        <v>16814.0347211804</v>
      </c>
      <c r="I198" s="610">
        <f>IF($B$20:$B$499&lt;&gt;"",$D$20:$D$499*$E$8/$E$10,"")</f>
        <v>7300.863372309150</v>
      </c>
      <c r="J198" s="610">
        <f>IF(AND($B$20:$B$499&lt;&gt;"",$E$20:$E$499+$F$20:$F$499&lt;$D$20:$D$499),$D$20:$D$499-$H$20:$H$499,IF($B$20:$B$499&lt;&gt;"",0,""))</f>
        <v>1234762.54338896</v>
      </c>
      <c r="K198" s="610">
        <f>SUM($I$20:$I198)</f>
        <v>2440929.30212363</v>
      </c>
      <c r="L198" s="6"/>
      <c r="M198" s="6"/>
      <c r="N198" s="6"/>
      <c r="O198" s="6"/>
      <c r="P198" s="6"/>
      <c r="Q198" s="6"/>
      <c r="R198" s="6"/>
      <c r="S198" s="6"/>
      <c r="T198" s="6"/>
      <c r="U198" s="7"/>
    </row>
    <row r="199" ht="13.75" customHeight="1">
      <c r="A199" s="5"/>
      <c r="B199" s="608">
        <v>180</v>
      </c>
      <c r="C199" s="609">
        <f>IF($B$20:$B$499&lt;&gt;"",DATE(YEAR($E$11),MONTH($E$11)+($B$20:$B$499)*12/$E$10,DAY($E$11)),"")</f>
        <v>50740</v>
      </c>
      <c r="D199" s="610">
        <f>IF($B$20:$B$499&lt;&gt;"",J198,"")</f>
        <v>1234762.54338896</v>
      </c>
      <c r="E199" s="610">
        <f>IF($B$20:$B$499&lt;&gt;"",$K$7,"")</f>
        <v>24114.8980934895</v>
      </c>
      <c r="F199" s="610">
        <f>IF(AND($B$20:$B$499&lt;&gt;"",$E$20:$E$499+$E$12&lt;$D$20:$D$499),$E$12,IF(AND($B$20:$B$499&lt;&gt;"",$D$20:$D$499-$E$20:$E$499&gt;0),$D$20:$D$499-$E$20:$E$499,IF($B$20:$B$499&lt;&gt;"",0,"")))</f>
        <v>0</v>
      </c>
      <c r="G199" s="610">
        <f>IF(AND($B$20:$B$499&lt;&gt;"",$E$20:$E$499+$F$20:$F$499&lt;$D$20:$D$499),$E$20:$E$499+$F$20:$F$499,IF($B$20:$B$499&lt;&gt;"",$D$20:$D$499,""))</f>
        <v>24114.8980934895</v>
      </c>
      <c r="H199" s="610">
        <f>IF($B$20:$B$499&lt;&gt;"",$G$20:$G$499-$I$20:$I$499,"")</f>
        <v>16912.1165903872</v>
      </c>
      <c r="I199" s="610">
        <f>IF($B$20:$B$499&lt;&gt;"",$D$20:$D$499*$E$8/$E$10,"")</f>
        <v>7202.781503102270</v>
      </c>
      <c r="J199" s="610">
        <f>IF(AND($B$20:$B$499&lt;&gt;"",$E$20:$E$499+$F$20:$F$499&lt;$D$20:$D$499),$D$20:$D$499-$H$20:$H$499,IF($B$20:$B$499&lt;&gt;"",0,""))</f>
        <v>1217850.42679857</v>
      </c>
      <c r="K199" s="610">
        <f>SUM($I$20:$I199)</f>
        <v>2448132.08362673</v>
      </c>
      <c r="L199" s="6"/>
      <c r="M199" s="6"/>
      <c r="N199" s="6"/>
      <c r="O199" s="6"/>
      <c r="P199" s="6"/>
      <c r="Q199" s="6"/>
      <c r="R199" s="6"/>
      <c r="S199" s="6"/>
      <c r="T199" s="6"/>
      <c r="U199" s="7"/>
    </row>
    <row r="200" ht="13.75" customHeight="1">
      <c r="A200" s="5"/>
      <c r="B200" s="608">
        <v>181</v>
      </c>
      <c r="C200" s="609">
        <f>IF($B$20:$B$499&lt;&gt;"",DATE(YEAR($E$11),MONTH($E$11)+($B$20:$B$499)*12/$E$10,DAY($E$11)),"")</f>
        <v>50771</v>
      </c>
      <c r="D200" s="610">
        <f>IF($B$20:$B$499&lt;&gt;"",J199,"")</f>
        <v>1217850.42679857</v>
      </c>
      <c r="E200" s="610">
        <f>IF($B$20:$B$499&lt;&gt;"",$K$7,"")</f>
        <v>24114.8980934895</v>
      </c>
      <c r="F200" s="610">
        <f>IF(AND($B$20:$B$499&lt;&gt;"",$E$20:$E$499+$E$12&lt;$D$20:$D$499),$E$12,IF(AND($B$20:$B$499&lt;&gt;"",$D$20:$D$499-$E$20:$E$499&gt;0),$D$20:$D$499-$E$20:$E$499,IF($B$20:$B$499&lt;&gt;"",0,"")))</f>
        <v>0</v>
      </c>
      <c r="G200" s="610">
        <f>IF(AND($B$20:$B$499&lt;&gt;"",$E$20:$E$499+$F$20:$F$499&lt;$D$20:$D$499),$E$20:$E$499+$F$20:$F$499,IF($B$20:$B$499&lt;&gt;"",$D$20:$D$499,""))</f>
        <v>24114.8980934895</v>
      </c>
      <c r="H200" s="610">
        <f>IF($B$20:$B$499&lt;&gt;"",$G$20:$G$499-$I$20:$I$499,"")</f>
        <v>17010.7706038312</v>
      </c>
      <c r="I200" s="610">
        <f>IF($B$20:$B$499&lt;&gt;"",$D$20:$D$499*$E$8/$E$10,"")</f>
        <v>7104.127489658330</v>
      </c>
      <c r="J200" s="610">
        <f>IF(AND($B$20:$B$499&lt;&gt;"",$E$20:$E$499+$F$20:$F$499&lt;$D$20:$D$499),$D$20:$D$499-$H$20:$H$499,IF($B$20:$B$499&lt;&gt;"",0,""))</f>
        <v>1200839.65619474</v>
      </c>
      <c r="K200" s="610">
        <f>SUM($I$20:$I200)</f>
        <v>2455236.21111639</v>
      </c>
      <c r="L200" s="6"/>
      <c r="M200" s="6"/>
      <c r="N200" s="6"/>
      <c r="O200" s="6"/>
      <c r="P200" s="6"/>
      <c r="Q200" s="6"/>
      <c r="R200" s="6"/>
      <c r="S200" s="6"/>
      <c r="T200" s="6"/>
      <c r="U200" s="7"/>
    </row>
    <row r="201" ht="13.75" customHeight="1">
      <c r="A201" s="5"/>
      <c r="B201" s="608">
        <v>182</v>
      </c>
      <c r="C201" s="609">
        <f>IF($B$20:$B$499&lt;&gt;"",DATE(YEAR($E$11),MONTH($E$11)+($B$20:$B$499)*12/$E$10,DAY($E$11)),"")</f>
        <v>50802</v>
      </c>
      <c r="D201" s="610">
        <f>IF($B$20:$B$499&lt;&gt;"",J200,"")</f>
        <v>1200839.65619474</v>
      </c>
      <c r="E201" s="610">
        <f>IF($B$20:$B$499&lt;&gt;"",$K$7,"")</f>
        <v>24114.8980934895</v>
      </c>
      <c r="F201" s="610">
        <f>IF(AND($B$20:$B$499&lt;&gt;"",$E$20:$E$499+$E$12&lt;$D$20:$D$499),$E$12,IF(AND($B$20:$B$499&lt;&gt;"",$D$20:$D$499-$E$20:$E$499&gt;0),$D$20:$D$499-$E$20:$E$499,IF($B$20:$B$499&lt;&gt;"",0,"")))</f>
        <v>0</v>
      </c>
      <c r="G201" s="610">
        <f>IF(AND($B$20:$B$499&lt;&gt;"",$E$20:$E$499+$F$20:$F$499&lt;$D$20:$D$499),$E$20:$E$499+$F$20:$F$499,IF($B$20:$B$499&lt;&gt;"",$D$20:$D$499,""))</f>
        <v>24114.8980934895</v>
      </c>
      <c r="H201" s="610">
        <f>IF($B$20:$B$499&lt;&gt;"",$G$20:$G$499-$I$20:$I$499,"")</f>
        <v>17110.0000990202</v>
      </c>
      <c r="I201" s="610">
        <f>IF($B$20:$B$499&lt;&gt;"",$D$20:$D$499*$E$8/$E$10,"")</f>
        <v>7004.897994469320</v>
      </c>
      <c r="J201" s="610">
        <f>IF(AND($B$20:$B$499&lt;&gt;"",$E$20:$E$499+$F$20:$F$499&lt;$D$20:$D$499),$D$20:$D$499-$H$20:$H$499,IF($B$20:$B$499&lt;&gt;"",0,""))</f>
        <v>1183729.65609572</v>
      </c>
      <c r="K201" s="610">
        <f>SUM($I$20:$I201)</f>
        <v>2462241.10911086</v>
      </c>
      <c r="L201" s="6"/>
      <c r="M201" s="6"/>
      <c r="N201" s="6"/>
      <c r="O201" s="6"/>
      <c r="P201" s="6"/>
      <c r="Q201" s="6"/>
      <c r="R201" s="6"/>
      <c r="S201" s="6"/>
      <c r="T201" s="6"/>
      <c r="U201" s="7"/>
    </row>
    <row r="202" ht="13.75" customHeight="1">
      <c r="A202" s="5"/>
      <c r="B202" s="608">
        <v>183</v>
      </c>
      <c r="C202" s="609">
        <f>IF($B$20:$B$499&lt;&gt;"",DATE(YEAR($E$11),MONTH($E$11)+($B$20:$B$499)*12/$E$10,DAY($E$11)),"")</f>
        <v>50830</v>
      </c>
      <c r="D202" s="610">
        <f>IF($B$20:$B$499&lt;&gt;"",J201,"")</f>
        <v>1183729.65609572</v>
      </c>
      <c r="E202" s="610">
        <f>IF($B$20:$B$499&lt;&gt;"",$K$7,"")</f>
        <v>24114.8980934895</v>
      </c>
      <c r="F202" s="610">
        <f>IF(AND($B$20:$B$499&lt;&gt;"",$E$20:$E$499+$E$12&lt;$D$20:$D$499),$E$12,IF(AND($B$20:$B$499&lt;&gt;"",$D$20:$D$499-$E$20:$E$499&gt;0),$D$20:$D$499-$E$20:$E$499,IF($B$20:$B$499&lt;&gt;"",0,"")))</f>
        <v>0</v>
      </c>
      <c r="G202" s="610">
        <f>IF(AND($B$20:$B$499&lt;&gt;"",$E$20:$E$499+$F$20:$F$499&lt;$D$20:$D$499),$E$20:$E$499+$F$20:$F$499,IF($B$20:$B$499&lt;&gt;"",$D$20:$D$499,""))</f>
        <v>24114.8980934895</v>
      </c>
      <c r="H202" s="610">
        <f>IF($B$20:$B$499&lt;&gt;"",$G$20:$G$499-$I$20:$I$499,"")</f>
        <v>17209.8084329311</v>
      </c>
      <c r="I202" s="610">
        <f>IF($B$20:$B$499&lt;&gt;"",$D$20:$D$499*$E$8/$E$10,"")</f>
        <v>6905.089660558370</v>
      </c>
      <c r="J202" s="610">
        <f>IF(AND($B$20:$B$499&lt;&gt;"",$E$20:$E$499+$F$20:$F$499&lt;$D$20:$D$499),$D$20:$D$499-$H$20:$H$499,IF($B$20:$B$499&lt;&gt;"",0,""))</f>
        <v>1166519.84766279</v>
      </c>
      <c r="K202" s="610">
        <f>SUM($I$20:$I202)</f>
        <v>2469146.19877142</v>
      </c>
      <c r="L202" s="6"/>
      <c r="M202" s="6"/>
      <c r="N202" s="6"/>
      <c r="O202" s="6"/>
      <c r="P202" s="6"/>
      <c r="Q202" s="6"/>
      <c r="R202" s="6"/>
      <c r="S202" s="6"/>
      <c r="T202" s="6"/>
      <c r="U202" s="7"/>
    </row>
    <row r="203" ht="13.75" customHeight="1">
      <c r="A203" s="5"/>
      <c r="B203" s="608">
        <v>184</v>
      </c>
      <c r="C203" s="609">
        <f>IF($B$20:$B$499&lt;&gt;"",DATE(YEAR($E$11),MONTH($E$11)+($B$20:$B$499)*12/$E$10,DAY($E$11)),"")</f>
        <v>50861</v>
      </c>
      <c r="D203" s="610">
        <f>IF($B$20:$B$499&lt;&gt;"",J202,"")</f>
        <v>1166519.84766279</v>
      </c>
      <c r="E203" s="610">
        <f>IF($B$20:$B$499&lt;&gt;"",$K$7,"")</f>
        <v>24114.8980934895</v>
      </c>
      <c r="F203" s="610">
        <f>IF(AND($B$20:$B$499&lt;&gt;"",$E$20:$E$499+$E$12&lt;$D$20:$D$499),$E$12,IF(AND($B$20:$B$499&lt;&gt;"",$D$20:$D$499-$E$20:$E$499&gt;0),$D$20:$D$499-$E$20:$E$499,IF($B$20:$B$499&lt;&gt;"",0,"")))</f>
        <v>0</v>
      </c>
      <c r="G203" s="610">
        <f>IF(AND($B$20:$B$499&lt;&gt;"",$E$20:$E$499+$F$20:$F$499&lt;$D$20:$D$499),$E$20:$E$499+$F$20:$F$499,IF($B$20:$B$499&lt;&gt;"",$D$20:$D$499,""))</f>
        <v>24114.8980934895</v>
      </c>
      <c r="H203" s="610">
        <f>IF($B$20:$B$499&lt;&gt;"",$G$20:$G$499-$I$20:$I$499,"")</f>
        <v>17310.1989821232</v>
      </c>
      <c r="I203" s="610">
        <f>IF($B$20:$B$499&lt;&gt;"",$D$20:$D$499*$E$8/$E$10,"")</f>
        <v>6804.699111366280</v>
      </c>
      <c r="J203" s="610">
        <f>IF(AND($B$20:$B$499&lt;&gt;"",$E$20:$E$499+$F$20:$F$499&lt;$D$20:$D$499),$D$20:$D$499-$H$20:$H$499,IF($B$20:$B$499&lt;&gt;"",0,""))</f>
        <v>1149209.64868067</v>
      </c>
      <c r="K203" s="610">
        <f>SUM($I$20:$I203)</f>
        <v>2475950.89788278</v>
      </c>
      <c r="L203" s="6"/>
      <c r="M203" s="6"/>
      <c r="N203" s="6"/>
      <c r="O203" s="6"/>
      <c r="P203" s="6"/>
      <c r="Q203" s="6"/>
      <c r="R203" s="6"/>
      <c r="S203" s="6"/>
      <c r="T203" s="6"/>
      <c r="U203" s="7"/>
    </row>
    <row r="204" ht="13.75" customHeight="1">
      <c r="A204" s="5"/>
      <c r="B204" s="608">
        <v>185</v>
      </c>
      <c r="C204" s="609">
        <f>IF($B$20:$B$499&lt;&gt;"",DATE(YEAR($E$11),MONTH($E$11)+($B$20:$B$499)*12/$E$10,DAY($E$11)),"")</f>
        <v>50891</v>
      </c>
      <c r="D204" s="610">
        <f>IF($B$20:$B$499&lt;&gt;"",J203,"")</f>
        <v>1149209.64868067</v>
      </c>
      <c r="E204" s="610">
        <f>IF($B$20:$B$499&lt;&gt;"",$K$7,"")</f>
        <v>24114.8980934895</v>
      </c>
      <c r="F204" s="610">
        <f>IF(AND($B$20:$B$499&lt;&gt;"",$E$20:$E$499+$E$12&lt;$D$20:$D$499),$E$12,IF(AND($B$20:$B$499&lt;&gt;"",$D$20:$D$499-$E$20:$E$499&gt;0),$D$20:$D$499-$E$20:$E$499,IF($B$20:$B$499&lt;&gt;"",0,"")))</f>
        <v>0</v>
      </c>
      <c r="G204" s="610">
        <f>IF(AND($B$20:$B$499&lt;&gt;"",$E$20:$E$499+$F$20:$F$499&lt;$D$20:$D$499),$E$20:$E$499+$F$20:$F$499,IF($B$20:$B$499&lt;&gt;"",$D$20:$D$499,""))</f>
        <v>24114.8980934895</v>
      </c>
      <c r="H204" s="610">
        <f>IF($B$20:$B$499&lt;&gt;"",$G$20:$G$499-$I$20:$I$499,"")</f>
        <v>17411.1751428523</v>
      </c>
      <c r="I204" s="610">
        <f>IF($B$20:$B$499&lt;&gt;"",$D$20:$D$499*$E$8/$E$10,"")</f>
        <v>6703.722950637240</v>
      </c>
      <c r="J204" s="610">
        <f>IF(AND($B$20:$B$499&lt;&gt;"",$E$20:$E$499+$F$20:$F$499&lt;$D$20:$D$499),$D$20:$D$499-$H$20:$H$499,IF($B$20:$B$499&lt;&gt;"",0,""))</f>
        <v>1131798.47353782</v>
      </c>
      <c r="K204" s="610">
        <f>SUM($I$20:$I204)</f>
        <v>2482654.62083342</v>
      </c>
      <c r="L204" s="6"/>
      <c r="M204" s="6"/>
      <c r="N204" s="6"/>
      <c r="O204" s="6"/>
      <c r="P204" s="6"/>
      <c r="Q204" s="6"/>
      <c r="R204" s="6"/>
      <c r="S204" s="6"/>
      <c r="T204" s="6"/>
      <c r="U204" s="7"/>
    </row>
    <row r="205" ht="13.75" customHeight="1">
      <c r="A205" s="5"/>
      <c r="B205" s="608">
        <v>186</v>
      </c>
      <c r="C205" s="609">
        <f>IF($B$20:$B$499&lt;&gt;"",DATE(YEAR($E$11),MONTH($E$11)+($B$20:$B$499)*12/$E$10,DAY($E$11)),"")</f>
        <v>50922</v>
      </c>
      <c r="D205" s="610">
        <f>IF($B$20:$B$499&lt;&gt;"",J204,"")</f>
        <v>1131798.47353782</v>
      </c>
      <c r="E205" s="610">
        <f>IF($B$20:$B$499&lt;&gt;"",$K$7,"")</f>
        <v>24114.8980934895</v>
      </c>
      <c r="F205" s="610">
        <f>IF(AND($B$20:$B$499&lt;&gt;"",$E$20:$E$499+$E$12&lt;$D$20:$D$499),$E$12,IF(AND($B$20:$B$499&lt;&gt;"",$D$20:$D$499-$E$20:$E$499&gt;0),$D$20:$D$499-$E$20:$E$499,IF($B$20:$B$499&lt;&gt;"",0,"")))</f>
        <v>0</v>
      </c>
      <c r="G205" s="610">
        <f>IF(AND($B$20:$B$499&lt;&gt;"",$E$20:$E$499+$F$20:$F$499&lt;$D$20:$D$499),$E$20:$E$499+$F$20:$F$499,IF($B$20:$B$499&lt;&gt;"",$D$20:$D$499,""))</f>
        <v>24114.8980934895</v>
      </c>
      <c r="H205" s="610">
        <f>IF($B$20:$B$499&lt;&gt;"",$G$20:$G$499-$I$20:$I$499,"")</f>
        <v>17512.7403311856</v>
      </c>
      <c r="I205" s="610">
        <f>IF($B$20:$B$499&lt;&gt;"",$D$20:$D$499*$E$8/$E$10,"")</f>
        <v>6602.157762303950</v>
      </c>
      <c r="J205" s="610">
        <f>IF(AND($B$20:$B$499&lt;&gt;"",$E$20:$E$499+$F$20:$F$499&lt;$D$20:$D$499),$D$20:$D$499-$H$20:$H$499,IF($B$20:$B$499&lt;&gt;"",0,""))</f>
        <v>1114285.73320663</v>
      </c>
      <c r="K205" s="610">
        <f>SUM($I$20:$I205)</f>
        <v>2489256.77859572</v>
      </c>
      <c r="L205" s="6"/>
      <c r="M205" s="6"/>
      <c r="N205" s="6"/>
      <c r="O205" s="6"/>
      <c r="P205" s="6"/>
      <c r="Q205" s="6"/>
      <c r="R205" s="6"/>
      <c r="S205" s="6"/>
      <c r="T205" s="6"/>
      <c r="U205" s="7"/>
    </row>
    <row r="206" ht="13.75" customHeight="1">
      <c r="A206" s="5"/>
      <c r="B206" s="608">
        <v>187</v>
      </c>
      <c r="C206" s="609">
        <f>IF($B$20:$B$499&lt;&gt;"",DATE(YEAR($E$11),MONTH($E$11)+($B$20:$B$499)*12/$E$10,DAY($E$11)),"")</f>
        <v>50952</v>
      </c>
      <c r="D206" s="610">
        <f>IF($B$20:$B$499&lt;&gt;"",J205,"")</f>
        <v>1114285.73320663</v>
      </c>
      <c r="E206" s="610">
        <f>IF($B$20:$B$499&lt;&gt;"",$K$7,"")</f>
        <v>24114.8980934895</v>
      </c>
      <c r="F206" s="610">
        <f>IF(AND($B$20:$B$499&lt;&gt;"",$E$20:$E$499+$E$12&lt;$D$20:$D$499),$E$12,IF(AND($B$20:$B$499&lt;&gt;"",$D$20:$D$499-$E$20:$E$499&gt;0),$D$20:$D$499-$E$20:$E$499,IF($B$20:$B$499&lt;&gt;"",0,"")))</f>
        <v>0</v>
      </c>
      <c r="G206" s="610">
        <f>IF(AND($B$20:$B$499&lt;&gt;"",$E$20:$E$499+$F$20:$F$499&lt;$D$20:$D$499),$E$20:$E$499+$F$20:$F$499,IF($B$20:$B$499&lt;&gt;"",$D$20:$D$499,""))</f>
        <v>24114.8980934895</v>
      </c>
      <c r="H206" s="610">
        <f>IF($B$20:$B$499&lt;&gt;"",$G$20:$G$499-$I$20:$I$499,"")</f>
        <v>17614.8979831175</v>
      </c>
      <c r="I206" s="610">
        <f>IF($B$20:$B$499&lt;&gt;"",$D$20:$D$499*$E$8/$E$10,"")</f>
        <v>6500.000110372010</v>
      </c>
      <c r="J206" s="610">
        <f>IF(AND($B$20:$B$499&lt;&gt;"",$E$20:$E$499+$F$20:$F$499&lt;$D$20:$D$499),$D$20:$D$499-$H$20:$H$499,IF($B$20:$B$499&lt;&gt;"",0,""))</f>
        <v>1096670.83522351</v>
      </c>
      <c r="K206" s="610">
        <f>SUM($I$20:$I206)</f>
        <v>2495756.77870609</v>
      </c>
      <c r="L206" s="6"/>
      <c r="M206" s="6"/>
      <c r="N206" s="6"/>
      <c r="O206" s="6"/>
      <c r="P206" s="6"/>
      <c r="Q206" s="6"/>
      <c r="R206" s="6"/>
      <c r="S206" s="6"/>
      <c r="T206" s="6"/>
      <c r="U206" s="7"/>
    </row>
    <row r="207" ht="13.75" customHeight="1">
      <c r="A207" s="5"/>
      <c r="B207" s="608">
        <v>188</v>
      </c>
      <c r="C207" s="609">
        <f>IF($B$20:$B$499&lt;&gt;"",DATE(YEAR($E$11),MONTH($E$11)+($B$20:$B$499)*12/$E$10,DAY($E$11)),"")</f>
        <v>50983</v>
      </c>
      <c r="D207" s="610">
        <f>IF($B$20:$B$499&lt;&gt;"",J206,"")</f>
        <v>1096670.83522351</v>
      </c>
      <c r="E207" s="610">
        <f>IF($B$20:$B$499&lt;&gt;"",$K$7,"")</f>
        <v>24114.8980934895</v>
      </c>
      <c r="F207" s="610">
        <f>IF(AND($B$20:$B$499&lt;&gt;"",$E$20:$E$499+$E$12&lt;$D$20:$D$499),$E$12,IF(AND($B$20:$B$499&lt;&gt;"",$D$20:$D$499-$E$20:$E$499&gt;0),$D$20:$D$499-$E$20:$E$499,IF($B$20:$B$499&lt;&gt;"",0,"")))</f>
        <v>0</v>
      </c>
      <c r="G207" s="610">
        <f>IF(AND($B$20:$B$499&lt;&gt;"",$E$20:$E$499+$F$20:$F$499&lt;$D$20:$D$499),$E$20:$E$499+$F$20:$F$499,IF($B$20:$B$499&lt;&gt;"",$D$20:$D$499,""))</f>
        <v>24114.8980934895</v>
      </c>
      <c r="H207" s="610">
        <f>IF($B$20:$B$499&lt;&gt;"",$G$20:$G$499-$I$20:$I$499,"")</f>
        <v>17717.6515546857</v>
      </c>
      <c r="I207" s="610">
        <f>IF($B$20:$B$499&lt;&gt;"",$D$20:$D$499*$E$8/$E$10,"")</f>
        <v>6397.246538803810</v>
      </c>
      <c r="J207" s="610">
        <f>IF(AND($B$20:$B$499&lt;&gt;"",$E$20:$E$499+$F$20:$F$499&lt;$D$20:$D$499),$D$20:$D$499-$H$20:$H$499,IF($B$20:$B$499&lt;&gt;"",0,""))</f>
        <v>1078953.18366882</v>
      </c>
      <c r="K207" s="610">
        <f>SUM($I$20:$I207)</f>
        <v>2502154.0252449</v>
      </c>
      <c r="L207" s="6"/>
      <c r="M207" s="6"/>
      <c r="N207" s="6"/>
      <c r="O207" s="6"/>
      <c r="P207" s="6"/>
      <c r="Q207" s="6"/>
      <c r="R207" s="6"/>
      <c r="S207" s="6"/>
      <c r="T207" s="6"/>
      <c r="U207" s="7"/>
    </row>
    <row r="208" ht="13.75" customHeight="1">
      <c r="A208" s="5"/>
      <c r="B208" s="608">
        <v>189</v>
      </c>
      <c r="C208" s="609">
        <f>IF($B$20:$B$499&lt;&gt;"",DATE(YEAR($E$11),MONTH($E$11)+($B$20:$B$499)*12/$E$10,DAY($E$11)),"")</f>
        <v>51014</v>
      </c>
      <c r="D208" s="610">
        <f>IF($B$20:$B$499&lt;&gt;"",J207,"")</f>
        <v>1078953.18366882</v>
      </c>
      <c r="E208" s="610">
        <f>IF($B$20:$B$499&lt;&gt;"",$K$7,"")</f>
        <v>24114.8980934895</v>
      </c>
      <c r="F208" s="610">
        <f>IF(AND($B$20:$B$499&lt;&gt;"",$E$20:$E$499+$E$12&lt;$D$20:$D$499),$E$12,IF(AND($B$20:$B$499&lt;&gt;"",$D$20:$D$499-$E$20:$E$499&gt;0),$D$20:$D$499-$E$20:$E$499,IF($B$20:$B$499&lt;&gt;"",0,"")))</f>
        <v>0</v>
      </c>
      <c r="G208" s="610">
        <f>IF(AND($B$20:$B$499&lt;&gt;"",$E$20:$E$499+$F$20:$F$499&lt;$D$20:$D$499),$E$20:$E$499+$F$20:$F$499,IF($B$20:$B$499&lt;&gt;"",$D$20:$D$499,""))</f>
        <v>24114.8980934895</v>
      </c>
      <c r="H208" s="610">
        <f>IF($B$20:$B$499&lt;&gt;"",$G$20:$G$499-$I$20:$I$499,"")</f>
        <v>17821.0045220881</v>
      </c>
      <c r="I208" s="610">
        <f>IF($B$20:$B$499&lt;&gt;"",$D$20:$D$499*$E$8/$E$10,"")</f>
        <v>6293.893571401450</v>
      </c>
      <c r="J208" s="610">
        <f>IF(AND($B$20:$B$499&lt;&gt;"",$E$20:$E$499+$F$20:$F$499&lt;$D$20:$D$499),$D$20:$D$499-$H$20:$H$499,IF($B$20:$B$499&lt;&gt;"",0,""))</f>
        <v>1061132.17914673</v>
      </c>
      <c r="K208" s="610">
        <f>SUM($I$20:$I208)</f>
        <v>2508447.9188163</v>
      </c>
      <c r="L208" s="6"/>
      <c r="M208" s="6"/>
      <c r="N208" s="6"/>
      <c r="O208" s="6"/>
      <c r="P208" s="6"/>
      <c r="Q208" s="6"/>
      <c r="R208" s="6"/>
      <c r="S208" s="6"/>
      <c r="T208" s="6"/>
      <c r="U208" s="7"/>
    </row>
    <row r="209" ht="13.75" customHeight="1">
      <c r="A209" s="5"/>
      <c r="B209" s="608">
        <v>190</v>
      </c>
      <c r="C209" s="609">
        <f>IF($B$20:$B$499&lt;&gt;"",DATE(YEAR($E$11),MONTH($E$11)+($B$20:$B$499)*12/$E$10,DAY($E$11)),"")</f>
        <v>51044</v>
      </c>
      <c r="D209" s="610">
        <f>IF($B$20:$B$499&lt;&gt;"",J208,"")</f>
        <v>1061132.17914673</v>
      </c>
      <c r="E209" s="610">
        <f>IF($B$20:$B$499&lt;&gt;"",$K$7,"")</f>
        <v>24114.8980934895</v>
      </c>
      <c r="F209" s="610">
        <f>IF(AND($B$20:$B$499&lt;&gt;"",$E$20:$E$499+$E$12&lt;$D$20:$D$499),$E$12,IF(AND($B$20:$B$499&lt;&gt;"",$D$20:$D$499-$E$20:$E$499&gt;0),$D$20:$D$499-$E$20:$E$499,IF($B$20:$B$499&lt;&gt;"",0,"")))</f>
        <v>0</v>
      </c>
      <c r="G209" s="610">
        <f>IF(AND($B$20:$B$499&lt;&gt;"",$E$20:$E$499+$F$20:$F$499&lt;$D$20:$D$499),$E$20:$E$499+$F$20:$F$499,IF($B$20:$B$499&lt;&gt;"",$D$20:$D$499,""))</f>
        <v>24114.8980934895</v>
      </c>
      <c r="H209" s="610">
        <f>IF($B$20:$B$499&lt;&gt;"",$G$20:$G$499-$I$20:$I$499,"")</f>
        <v>17924.9603818002</v>
      </c>
      <c r="I209" s="610">
        <f>IF($B$20:$B$499&lt;&gt;"",$D$20:$D$499*$E$8/$E$10,"")</f>
        <v>6189.937711689260</v>
      </c>
      <c r="J209" s="610">
        <f>IF(AND($B$20:$B$499&lt;&gt;"",$E$20:$E$499+$F$20:$F$499&lt;$D$20:$D$499),$D$20:$D$499-$H$20:$H$499,IF($B$20:$B$499&lt;&gt;"",0,""))</f>
        <v>1043207.21876493</v>
      </c>
      <c r="K209" s="610">
        <f>SUM($I$20:$I209)</f>
        <v>2514637.85652799</v>
      </c>
      <c r="L209" s="6"/>
      <c r="M209" s="6"/>
      <c r="N209" s="6"/>
      <c r="O209" s="6"/>
      <c r="P209" s="6"/>
      <c r="Q209" s="6"/>
      <c r="R209" s="6"/>
      <c r="S209" s="6"/>
      <c r="T209" s="6"/>
      <c r="U209" s="7"/>
    </row>
    <row r="210" ht="13.75" customHeight="1">
      <c r="A210" s="5"/>
      <c r="B210" s="608">
        <v>191</v>
      </c>
      <c r="C210" s="609">
        <f>IF($B$20:$B$499&lt;&gt;"",DATE(YEAR($E$11),MONTH($E$11)+($B$20:$B$499)*12/$E$10,DAY($E$11)),"")</f>
        <v>51075</v>
      </c>
      <c r="D210" s="610">
        <f>IF($B$20:$B$499&lt;&gt;"",J209,"")</f>
        <v>1043207.21876493</v>
      </c>
      <c r="E210" s="610">
        <f>IF($B$20:$B$499&lt;&gt;"",$K$7,"")</f>
        <v>24114.8980934895</v>
      </c>
      <c r="F210" s="610">
        <f>IF(AND($B$20:$B$499&lt;&gt;"",$E$20:$E$499+$E$12&lt;$D$20:$D$499),$E$12,IF(AND($B$20:$B$499&lt;&gt;"",$D$20:$D$499-$E$20:$E$499&gt;0),$D$20:$D$499-$E$20:$E$499,IF($B$20:$B$499&lt;&gt;"",0,"")))</f>
        <v>0</v>
      </c>
      <c r="G210" s="610">
        <f>IF(AND($B$20:$B$499&lt;&gt;"",$E$20:$E$499+$F$20:$F$499&lt;$D$20:$D$499),$E$20:$E$499+$F$20:$F$499,IF($B$20:$B$499&lt;&gt;"",$D$20:$D$499,""))</f>
        <v>24114.8980934895</v>
      </c>
      <c r="H210" s="610">
        <f>IF($B$20:$B$499&lt;&gt;"",$G$20:$G$499-$I$20:$I$499,"")</f>
        <v>18029.5226506941</v>
      </c>
      <c r="I210" s="610">
        <f>IF($B$20:$B$499&lt;&gt;"",$D$20:$D$499*$E$8/$E$10,"")</f>
        <v>6085.375442795430</v>
      </c>
      <c r="J210" s="610">
        <f>IF(AND($B$20:$B$499&lt;&gt;"",$E$20:$E$499+$F$20:$F$499&lt;$D$20:$D$499),$D$20:$D$499-$H$20:$H$499,IF($B$20:$B$499&lt;&gt;"",0,""))</f>
        <v>1025177.69611424</v>
      </c>
      <c r="K210" s="610">
        <f>SUM($I$20:$I210)</f>
        <v>2520723.23197078</v>
      </c>
      <c r="L210" s="6"/>
      <c r="M210" s="6"/>
      <c r="N210" s="6"/>
      <c r="O210" s="6"/>
      <c r="P210" s="6"/>
      <c r="Q210" s="6"/>
      <c r="R210" s="6"/>
      <c r="S210" s="6"/>
      <c r="T210" s="6"/>
      <c r="U210" s="7"/>
    </row>
    <row r="211" ht="13.75" customHeight="1">
      <c r="A211" s="5"/>
      <c r="B211" s="608">
        <v>192</v>
      </c>
      <c r="C211" s="609">
        <f>IF($B$20:$B$499&lt;&gt;"",DATE(YEAR($E$11),MONTH($E$11)+($B$20:$B$499)*12/$E$10,DAY($E$11)),"")</f>
        <v>51105</v>
      </c>
      <c r="D211" s="610">
        <f>IF($B$20:$B$499&lt;&gt;"",J210,"")</f>
        <v>1025177.69611424</v>
      </c>
      <c r="E211" s="610">
        <f>IF($B$20:$B$499&lt;&gt;"",$K$7,"")</f>
        <v>24114.8980934895</v>
      </c>
      <c r="F211" s="610">
        <f>IF(AND($B$20:$B$499&lt;&gt;"",$E$20:$E$499+$E$12&lt;$D$20:$D$499),$E$12,IF(AND($B$20:$B$499&lt;&gt;"",$D$20:$D$499-$E$20:$E$499&gt;0),$D$20:$D$499-$E$20:$E$499,IF($B$20:$B$499&lt;&gt;"",0,"")))</f>
        <v>0</v>
      </c>
      <c r="G211" s="610">
        <f>IF(AND($B$20:$B$499&lt;&gt;"",$E$20:$E$499+$F$20:$F$499&lt;$D$20:$D$499),$E$20:$E$499+$F$20:$F$499,IF($B$20:$B$499&lt;&gt;"",$D$20:$D$499,""))</f>
        <v>24114.8980934895</v>
      </c>
      <c r="H211" s="610">
        <f>IF($B$20:$B$499&lt;&gt;"",$G$20:$G$499-$I$20:$I$499,"")</f>
        <v>18134.6948661564</v>
      </c>
      <c r="I211" s="610">
        <f>IF($B$20:$B$499&lt;&gt;"",$D$20:$D$499*$E$8/$E$10,"")</f>
        <v>5980.203227333070</v>
      </c>
      <c r="J211" s="610">
        <f>IF(AND($B$20:$B$499&lt;&gt;"",$E$20:$E$499+$F$20:$F$499&lt;$D$20:$D$499),$D$20:$D$499-$H$20:$H$499,IF($B$20:$B$499&lt;&gt;"",0,""))</f>
        <v>1007043.00124808</v>
      </c>
      <c r="K211" s="610">
        <f>SUM($I$20:$I211)</f>
        <v>2526703.43519812</v>
      </c>
      <c r="L211" s="6"/>
      <c r="M211" s="6"/>
      <c r="N211" s="6"/>
      <c r="O211" s="6"/>
      <c r="P211" s="6"/>
      <c r="Q211" s="6"/>
      <c r="R211" s="6"/>
      <c r="S211" s="6"/>
      <c r="T211" s="6"/>
      <c r="U211" s="7"/>
    </row>
    <row r="212" ht="13.75" customHeight="1">
      <c r="A212" s="5"/>
      <c r="B212" s="608">
        <v>193</v>
      </c>
      <c r="C212" s="609">
        <f>IF($B$20:$B$499&lt;&gt;"",DATE(YEAR($E$11),MONTH($E$11)+($B$20:$B$499)*12/$E$10,DAY($E$11)),"")</f>
        <v>51136</v>
      </c>
      <c r="D212" s="610">
        <f>IF($B$20:$B$499&lt;&gt;"",J211,"")</f>
        <v>1007043.00124808</v>
      </c>
      <c r="E212" s="610">
        <f>IF($B$20:$B$499&lt;&gt;"",$K$7,"")</f>
        <v>24114.8980934895</v>
      </c>
      <c r="F212" s="610">
        <f>IF(AND($B$20:$B$499&lt;&gt;"",$E$20:$E$499+$E$12&lt;$D$20:$D$499),$E$12,IF(AND($B$20:$B$499&lt;&gt;"",$D$20:$D$499-$E$20:$E$499&gt;0),$D$20:$D$499-$E$20:$E$499,IF($B$20:$B$499&lt;&gt;"",0,"")))</f>
        <v>0</v>
      </c>
      <c r="G212" s="610">
        <f>IF(AND($B$20:$B$499&lt;&gt;"",$E$20:$E$499+$F$20:$F$499&lt;$D$20:$D$499),$E$20:$E$499+$F$20:$F$499,IF($B$20:$B$499&lt;&gt;"",$D$20:$D$499,""))</f>
        <v>24114.8980934895</v>
      </c>
      <c r="H212" s="610">
        <f>IF($B$20:$B$499&lt;&gt;"",$G$20:$G$499-$I$20:$I$499,"")</f>
        <v>18240.480586209</v>
      </c>
      <c r="I212" s="610">
        <f>IF($B$20:$B$499&lt;&gt;"",$D$20:$D$499*$E$8/$E$10,"")</f>
        <v>5874.417507280470</v>
      </c>
      <c r="J212" s="610">
        <f>IF(AND($B$20:$B$499&lt;&gt;"",$E$20:$E$499+$F$20:$F$499&lt;$D$20:$D$499),$D$20:$D$499-$H$20:$H$499,IF($B$20:$B$499&lt;&gt;"",0,""))</f>
        <v>988802.5206618709</v>
      </c>
      <c r="K212" s="610">
        <f>SUM($I$20:$I212)</f>
        <v>2532577.8527054</v>
      </c>
      <c r="L212" s="6"/>
      <c r="M212" s="6"/>
      <c r="N212" s="6"/>
      <c r="O212" s="6"/>
      <c r="P212" s="6"/>
      <c r="Q212" s="6"/>
      <c r="R212" s="6"/>
      <c r="S212" s="6"/>
      <c r="T212" s="6"/>
      <c r="U212" s="7"/>
    </row>
    <row r="213" ht="13.75" customHeight="1">
      <c r="A213" s="5"/>
      <c r="B213" s="608">
        <v>194</v>
      </c>
      <c r="C213" s="609">
        <f>IF($B$20:$B$499&lt;&gt;"",DATE(YEAR($E$11),MONTH($E$11)+($B$20:$B$499)*12/$E$10,DAY($E$11)),"")</f>
        <v>51167</v>
      </c>
      <c r="D213" s="610">
        <f>IF($B$20:$B$499&lt;&gt;"",J212,"")</f>
        <v>988802.5206618709</v>
      </c>
      <c r="E213" s="610">
        <f>IF($B$20:$B$499&lt;&gt;"",$K$7,"")</f>
        <v>24114.8980934895</v>
      </c>
      <c r="F213" s="610">
        <f>IF(AND($B$20:$B$499&lt;&gt;"",$E$20:$E$499+$E$12&lt;$D$20:$D$499),$E$12,IF(AND($B$20:$B$499&lt;&gt;"",$D$20:$D$499-$E$20:$E$499&gt;0),$D$20:$D$499-$E$20:$E$499,IF($B$20:$B$499&lt;&gt;"",0,"")))</f>
        <v>0</v>
      </c>
      <c r="G213" s="610">
        <f>IF(AND($B$20:$B$499&lt;&gt;"",$E$20:$E$499+$F$20:$F$499&lt;$D$20:$D$499),$E$20:$E$499+$F$20:$F$499,IF($B$20:$B$499&lt;&gt;"",$D$20:$D$499,""))</f>
        <v>24114.8980934895</v>
      </c>
      <c r="H213" s="610">
        <f>IF($B$20:$B$499&lt;&gt;"",$G$20:$G$499-$I$20:$I$499,"")</f>
        <v>18346.8833896286</v>
      </c>
      <c r="I213" s="610">
        <f>IF($B$20:$B$499&lt;&gt;"",$D$20:$D$499*$E$8/$E$10,"")</f>
        <v>5768.014703860910</v>
      </c>
      <c r="J213" s="610">
        <f>IF(AND($B$20:$B$499&lt;&gt;"",$E$20:$E$499+$F$20:$F$499&lt;$D$20:$D$499),$D$20:$D$499-$H$20:$H$499,IF($B$20:$B$499&lt;&gt;"",0,""))</f>
        <v>970455.637272242</v>
      </c>
      <c r="K213" s="610">
        <f>SUM($I$20:$I213)</f>
        <v>2538345.86740926</v>
      </c>
      <c r="L213" s="6"/>
      <c r="M213" s="6"/>
      <c r="N213" s="6"/>
      <c r="O213" s="6"/>
      <c r="P213" s="6"/>
      <c r="Q213" s="6"/>
      <c r="R213" s="6"/>
      <c r="S213" s="6"/>
      <c r="T213" s="6"/>
      <c r="U213" s="7"/>
    </row>
    <row r="214" ht="13.75" customHeight="1">
      <c r="A214" s="5"/>
      <c r="B214" s="608">
        <v>195</v>
      </c>
      <c r="C214" s="609">
        <f>IF($B$20:$B$499&lt;&gt;"",DATE(YEAR($E$11),MONTH($E$11)+($B$20:$B$499)*12/$E$10,DAY($E$11)),"")</f>
        <v>51196</v>
      </c>
      <c r="D214" s="610">
        <f>IF($B$20:$B$499&lt;&gt;"",J213,"")</f>
        <v>970455.637272242</v>
      </c>
      <c r="E214" s="610">
        <f>IF($B$20:$B$499&lt;&gt;"",$K$7,"")</f>
        <v>24114.8980934895</v>
      </c>
      <c r="F214" s="610">
        <f>IF(AND($B$20:$B$499&lt;&gt;"",$E$20:$E$499+$E$12&lt;$D$20:$D$499),$E$12,IF(AND($B$20:$B$499&lt;&gt;"",$D$20:$D$499-$E$20:$E$499&gt;0),$D$20:$D$499-$E$20:$E$499,IF($B$20:$B$499&lt;&gt;"",0,"")))</f>
        <v>0</v>
      </c>
      <c r="G214" s="610">
        <f>IF(AND($B$20:$B$499&lt;&gt;"",$E$20:$E$499+$F$20:$F$499&lt;$D$20:$D$499),$E$20:$E$499+$F$20:$F$499,IF($B$20:$B$499&lt;&gt;"",$D$20:$D$499,""))</f>
        <v>24114.8980934895</v>
      </c>
      <c r="H214" s="610">
        <f>IF($B$20:$B$499&lt;&gt;"",$G$20:$G$499-$I$20:$I$499,"")</f>
        <v>18453.9068760681</v>
      </c>
      <c r="I214" s="610">
        <f>IF($B$20:$B$499&lt;&gt;"",$D$20:$D$499*$E$8/$E$10,"")</f>
        <v>5660.991217421410</v>
      </c>
      <c r="J214" s="610">
        <f>IF(AND($B$20:$B$499&lt;&gt;"",$E$20:$E$499+$F$20:$F$499&lt;$D$20:$D$499),$D$20:$D$499-$H$20:$H$499,IF($B$20:$B$499&lt;&gt;"",0,""))</f>
        <v>952001.730396174</v>
      </c>
      <c r="K214" s="610">
        <f>SUM($I$20:$I214)</f>
        <v>2544006.85862668</v>
      </c>
      <c r="L214" s="6"/>
      <c r="M214" s="6"/>
      <c r="N214" s="6"/>
      <c r="O214" s="6"/>
      <c r="P214" s="6"/>
      <c r="Q214" s="6"/>
      <c r="R214" s="6"/>
      <c r="S214" s="6"/>
      <c r="T214" s="6"/>
      <c r="U214" s="7"/>
    </row>
    <row r="215" ht="13.75" customHeight="1">
      <c r="A215" s="5"/>
      <c r="B215" s="608">
        <v>196</v>
      </c>
      <c r="C215" s="609">
        <f>IF($B$20:$B$499&lt;&gt;"",DATE(YEAR($E$11),MONTH($E$11)+($B$20:$B$499)*12/$E$10,DAY($E$11)),"")</f>
        <v>51227</v>
      </c>
      <c r="D215" s="610">
        <f>IF($B$20:$B$499&lt;&gt;"",J214,"")</f>
        <v>952001.730396174</v>
      </c>
      <c r="E215" s="610">
        <f>IF($B$20:$B$499&lt;&gt;"",$K$7,"")</f>
        <v>24114.8980934895</v>
      </c>
      <c r="F215" s="610">
        <f>IF(AND($B$20:$B$499&lt;&gt;"",$E$20:$E$499+$E$12&lt;$D$20:$D$499),$E$12,IF(AND($B$20:$B$499&lt;&gt;"",$D$20:$D$499-$E$20:$E$499&gt;0),$D$20:$D$499-$E$20:$E$499,IF($B$20:$B$499&lt;&gt;"",0,"")))</f>
        <v>0</v>
      </c>
      <c r="G215" s="610">
        <f>IF(AND($B$20:$B$499&lt;&gt;"",$E$20:$E$499+$F$20:$F$499&lt;$D$20:$D$499),$E$20:$E$499+$F$20:$F$499,IF($B$20:$B$499&lt;&gt;"",$D$20:$D$499,""))</f>
        <v>24114.8980934895</v>
      </c>
      <c r="H215" s="610">
        <f>IF($B$20:$B$499&lt;&gt;"",$G$20:$G$499-$I$20:$I$499,"")</f>
        <v>18561.5546661785</v>
      </c>
      <c r="I215" s="610">
        <f>IF($B$20:$B$499&lt;&gt;"",$D$20:$D$499*$E$8/$E$10,"")</f>
        <v>5553.343427311020</v>
      </c>
      <c r="J215" s="610">
        <f>IF(AND($B$20:$B$499&lt;&gt;"",$E$20:$E$499+$F$20:$F$499&lt;$D$20:$D$499),$D$20:$D$499-$H$20:$H$499,IF($B$20:$B$499&lt;&gt;"",0,""))</f>
        <v>933440.1757299959</v>
      </c>
      <c r="K215" s="610">
        <f>SUM($I$20:$I215)</f>
        <v>2549560.20205399</v>
      </c>
      <c r="L215" s="6"/>
      <c r="M215" s="6"/>
      <c r="N215" s="6"/>
      <c r="O215" s="6"/>
      <c r="P215" s="6"/>
      <c r="Q215" s="6"/>
      <c r="R215" s="6"/>
      <c r="S215" s="6"/>
      <c r="T215" s="6"/>
      <c r="U215" s="7"/>
    </row>
    <row r="216" ht="13.75" customHeight="1">
      <c r="A216" s="5"/>
      <c r="B216" s="608">
        <v>197</v>
      </c>
      <c r="C216" s="609">
        <f>IF($B$20:$B$499&lt;&gt;"",DATE(YEAR($E$11),MONTH($E$11)+($B$20:$B$499)*12/$E$10,DAY($E$11)),"")</f>
        <v>51257</v>
      </c>
      <c r="D216" s="610">
        <f>IF($B$20:$B$499&lt;&gt;"",J215,"")</f>
        <v>933440.1757299959</v>
      </c>
      <c r="E216" s="610">
        <f>IF($B$20:$B$499&lt;&gt;"",$K$7,"")</f>
        <v>24114.8980934895</v>
      </c>
      <c r="F216" s="610">
        <f>IF(AND($B$20:$B$499&lt;&gt;"",$E$20:$E$499+$E$12&lt;$D$20:$D$499),$E$12,IF(AND($B$20:$B$499&lt;&gt;"",$D$20:$D$499-$E$20:$E$499&gt;0),$D$20:$D$499-$E$20:$E$499,IF($B$20:$B$499&lt;&gt;"",0,"")))</f>
        <v>0</v>
      </c>
      <c r="G216" s="610">
        <f>IF(AND($B$20:$B$499&lt;&gt;"",$E$20:$E$499+$F$20:$F$499&lt;$D$20:$D$499),$E$20:$E$499+$F$20:$F$499,IF($B$20:$B$499&lt;&gt;"",$D$20:$D$499,""))</f>
        <v>24114.8980934895</v>
      </c>
      <c r="H216" s="610">
        <f>IF($B$20:$B$499&lt;&gt;"",$G$20:$G$499-$I$20:$I$499,"")</f>
        <v>18669.8304017312</v>
      </c>
      <c r="I216" s="610">
        <f>IF($B$20:$B$499&lt;&gt;"",$D$20:$D$499*$E$8/$E$10,"")</f>
        <v>5445.067691758310</v>
      </c>
      <c r="J216" s="610">
        <f>IF(AND($B$20:$B$499&lt;&gt;"",$E$20:$E$499+$F$20:$F$499&lt;$D$20:$D$499),$D$20:$D$499-$H$20:$H$499,IF($B$20:$B$499&lt;&gt;"",0,""))</f>
        <v>914770.345328265</v>
      </c>
      <c r="K216" s="610">
        <f>SUM($I$20:$I216)</f>
        <v>2555005.26974575</v>
      </c>
      <c r="L216" s="6"/>
      <c r="M216" s="6"/>
      <c r="N216" s="6"/>
      <c r="O216" s="6"/>
      <c r="P216" s="6"/>
      <c r="Q216" s="6"/>
      <c r="R216" s="6"/>
      <c r="S216" s="6"/>
      <c r="T216" s="6"/>
      <c r="U216" s="7"/>
    </row>
    <row r="217" ht="13.75" customHeight="1">
      <c r="A217" s="5"/>
      <c r="B217" s="608">
        <v>198</v>
      </c>
      <c r="C217" s="609">
        <f>IF($B$20:$B$499&lt;&gt;"",DATE(YEAR($E$11),MONTH($E$11)+($B$20:$B$499)*12/$E$10,DAY($E$11)),"")</f>
        <v>51288</v>
      </c>
      <c r="D217" s="610">
        <f>IF($B$20:$B$499&lt;&gt;"",J216,"")</f>
        <v>914770.345328265</v>
      </c>
      <c r="E217" s="610">
        <f>IF($B$20:$B$499&lt;&gt;"",$K$7,"")</f>
        <v>24114.8980934895</v>
      </c>
      <c r="F217" s="610">
        <f>IF(AND($B$20:$B$499&lt;&gt;"",$E$20:$E$499+$E$12&lt;$D$20:$D$499),$E$12,IF(AND($B$20:$B$499&lt;&gt;"",$D$20:$D$499-$E$20:$E$499&gt;0),$D$20:$D$499-$E$20:$E$499,IF($B$20:$B$499&lt;&gt;"",0,"")))</f>
        <v>0</v>
      </c>
      <c r="G217" s="610">
        <f>IF(AND($B$20:$B$499&lt;&gt;"",$E$20:$E$499+$F$20:$F$499&lt;$D$20:$D$499),$E$20:$E$499+$F$20:$F$499,IF($B$20:$B$499&lt;&gt;"",$D$20:$D$499,""))</f>
        <v>24114.8980934895</v>
      </c>
      <c r="H217" s="610">
        <f>IF($B$20:$B$499&lt;&gt;"",$G$20:$G$499-$I$20:$I$499,"")</f>
        <v>18778.7377457413</v>
      </c>
      <c r="I217" s="610">
        <f>IF($B$20:$B$499&lt;&gt;"",$D$20:$D$499*$E$8/$E$10,"")</f>
        <v>5336.160347748210</v>
      </c>
      <c r="J217" s="610">
        <f>IF(AND($B$20:$B$499&lt;&gt;"",$E$20:$E$499+$F$20:$F$499&lt;$D$20:$D$499),$D$20:$D$499-$H$20:$H$499,IF($B$20:$B$499&lt;&gt;"",0,""))</f>
        <v>895991.607582524</v>
      </c>
      <c r="K217" s="610">
        <f>SUM($I$20:$I217)</f>
        <v>2560341.4300935</v>
      </c>
      <c r="L217" s="6"/>
      <c r="M217" s="6"/>
      <c r="N217" s="6"/>
      <c r="O217" s="6"/>
      <c r="P217" s="6"/>
      <c r="Q217" s="6"/>
      <c r="R217" s="6"/>
      <c r="S217" s="6"/>
      <c r="T217" s="6"/>
      <c r="U217" s="7"/>
    </row>
    <row r="218" ht="13.75" customHeight="1">
      <c r="A218" s="5"/>
      <c r="B218" s="608">
        <v>199</v>
      </c>
      <c r="C218" s="609">
        <f>IF($B$20:$B$499&lt;&gt;"",DATE(YEAR($E$11),MONTH($E$11)+($B$20:$B$499)*12/$E$10,DAY($E$11)),"")</f>
        <v>51318</v>
      </c>
      <c r="D218" s="610">
        <f>IF($B$20:$B$499&lt;&gt;"",J217,"")</f>
        <v>895991.607582524</v>
      </c>
      <c r="E218" s="610">
        <f>IF($B$20:$B$499&lt;&gt;"",$K$7,"")</f>
        <v>24114.8980934895</v>
      </c>
      <c r="F218" s="610">
        <f>IF(AND($B$20:$B$499&lt;&gt;"",$E$20:$E$499+$E$12&lt;$D$20:$D$499),$E$12,IF(AND($B$20:$B$499&lt;&gt;"",$D$20:$D$499-$E$20:$E$499&gt;0),$D$20:$D$499-$E$20:$E$499,IF($B$20:$B$499&lt;&gt;"",0,"")))</f>
        <v>0</v>
      </c>
      <c r="G218" s="610">
        <f>IF(AND($B$20:$B$499&lt;&gt;"",$E$20:$E$499+$F$20:$F$499&lt;$D$20:$D$499),$E$20:$E$499+$F$20:$F$499,IF($B$20:$B$499&lt;&gt;"",$D$20:$D$499,""))</f>
        <v>24114.8980934895</v>
      </c>
      <c r="H218" s="610">
        <f>IF($B$20:$B$499&lt;&gt;"",$G$20:$G$499-$I$20:$I$499,"")</f>
        <v>18888.2803825914</v>
      </c>
      <c r="I218" s="610">
        <f>IF($B$20:$B$499&lt;&gt;"",$D$20:$D$499*$E$8/$E$10,"")</f>
        <v>5226.617710898060</v>
      </c>
      <c r="J218" s="610">
        <f>IF(AND($B$20:$B$499&lt;&gt;"",$E$20:$E$499+$F$20:$F$499&lt;$D$20:$D$499),$D$20:$D$499-$H$20:$H$499,IF($B$20:$B$499&lt;&gt;"",0,""))</f>
        <v>877103.327199933</v>
      </c>
      <c r="K218" s="610">
        <f>SUM($I$20:$I218)</f>
        <v>2565568.0478044</v>
      </c>
      <c r="L218" s="6"/>
      <c r="M218" s="6"/>
      <c r="N218" s="6"/>
      <c r="O218" s="6"/>
      <c r="P218" s="6"/>
      <c r="Q218" s="6"/>
      <c r="R218" s="6"/>
      <c r="S218" s="6"/>
      <c r="T218" s="6"/>
      <c r="U218" s="7"/>
    </row>
    <row r="219" ht="13.75" customHeight="1">
      <c r="A219" s="5"/>
      <c r="B219" s="608">
        <v>200</v>
      </c>
      <c r="C219" s="609">
        <f>IF($B$20:$B$499&lt;&gt;"",DATE(YEAR($E$11),MONTH($E$11)+($B$20:$B$499)*12/$E$10,DAY($E$11)),"")</f>
        <v>51349</v>
      </c>
      <c r="D219" s="610">
        <f>IF($B$20:$B$499&lt;&gt;"",J218,"")</f>
        <v>877103.327199933</v>
      </c>
      <c r="E219" s="610">
        <f>IF($B$20:$B$499&lt;&gt;"",$K$7,"")</f>
        <v>24114.8980934895</v>
      </c>
      <c r="F219" s="610">
        <f>IF(AND($B$20:$B$499&lt;&gt;"",$E$20:$E$499+$E$12&lt;$D$20:$D$499),$E$12,IF(AND($B$20:$B$499&lt;&gt;"",$D$20:$D$499-$E$20:$E$499&gt;0),$D$20:$D$499-$E$20:$E$499,IF($B$20:$B$499&lt;&gt;"",0,"")))</f>
        <v>0</v>
      </c>
      <c r="G219" s="610">
        <f>IF(AND($B$20:$B$499&lt;&gt;"",$E$20:$E$499+$F$20:$F$499&lt;$D$20:$D$499),$E$20:$E$499+$F$20:$F$499,IF($B$20:$B$499&lt;&gt;"",$D$20:$D$499,""))</f>
        <v>24114.8980934895</v>
      </c>
      <c r="H219" s="610">
        <f>IF($B$20:$B$499&lt;&gt;"",$G$20:$G$499-$I$20:$I$499,"")</f>
        <v>18998.4620181566</v>
      </c>
      <c r="I219" s="610">
        <f>IF($B$20:$B$499&lt;&gt;"",$D$20:$D$499*$E$8/$E$10,"")</f>
        <v>5116.436075332940</v>
      </c>
      <c r="J219" s="610">
        <f>IF(AND($B$20:$B$499&lt;&gt;"",$E$20:$E$499+$F$20:$F$499&lt;$D$20:$D$499),$D$20:$D$499-$H$20:$H$499,IF($B$20:$B$499&lt;&gt;"",0,""))</f>
        <v>858104.865181776</v>
      </c>
      <c r="K219" s="610">
        <f>SUM($I$20:$I219)</f>
        <v>2570684.48387973</v>
      </c>
      <c r="L219" s="6"/>
      <c r="M219" s="6"/>
      <c r="N219" s="6"/>
      <c r="O219" s="6"/>
      <c r="P219" s="6"/>
      <c r="Q219" s="6"/>
      <c r="R219" s="6"/>
      <c r="S219" s="6"/>
      <c r="T219" s="6"/>
      <c r="U219" s="7"/>
    </row>
    <row r="220" ht="13.75" customHeight="1">
      <c r="A220" s="5"/>
      <c r="B220" s="608">
        <v>201</v>
      </c>
      <c r="C220" s="609">
        <f>IF($B$20:$B$499&lt;&gt;"",DATE(YEAR($E$11),MONTH($E$11)+($B$20:$B$499)*12/$E$10,DAY($E$11)),"")</f>
        <v>51380</v>
      </c>
      <c r="D220" s="610">
        <f>IF($B$20:$B$499&lt;&gt;"",J219,"")</f>
        <v>858104.865181776</v>
      </c>
      <c r="E220" s="610">
        <f>IF($B$20:$B$499&lt;&gt;"",$K$7,"")</f>
        <v>24114.8980934895</v>
      </c>
      <c r="F220" s="610">
        <f>IF(AND($B$20:$B$499&lt;&gt;"",$E$20:$E$499+$E$12&lt;$D$20:$D$499),$E$12,IF(AND($B$20:$B$499&lt;&gt;"",$D$20:$D$499-$E$20:$E$499&gt;0),$D$20:$D$499-$E$20:$E$499,IF($B$20:$B$499&lt;&gt;"",0,"")))</f>
        <v>0</v>
      </c>
      <c r="G220" s="610">
        <f>IF(AND($B$20:$B$499&lt;&gt;"",$E$20:$E$499+$F$20:$F$499&lt;$D$20:$D$499),$E$20:$E$499+$F$20:$F$499,IF($B$20:$B$499&lt;&gt;"",$D$20:$D$499,""))</f>
        <v>24114.8980934895</v>
      </c>
      <c r="H220" s="610">
        <f>IF($B$20:$B$499&lt;&gt;"",$G$20:$G$499-$I$20:$I$499,"")</f>
        <v>19109.2863799291</v>
      </c>
      <c r="I220" s="610">
        <f>IF($B$20:$B$499&lt;&gt;"",$D$20:$D$499*$E$8/$E$10,"")</f>
        <v>5005.611713560360</v>
      </c>
      <c r="J220" s="610">
        <f>IF(AND($B$20:$B$499&lt;&gt;"",$E$20:$E$499+$F$20:$F$499&lt;$D$20:$D$499),$D$20:$D$499-$H$20:$H$499,IF($B$20:$B$499&lt;&gt;"",0,""))</f>
        <v>838995.5788018469</v>
      </c>
      <c r="K220" s="610">
        <f>SUM($I$20:$I220)</f>
        <v>2575690.09559329</v>
      </c>
      <c r="L220" s="6"/>
      <c r="M220" s="6"/>
      <c r="N220" s="6"/>
      <c r="O220" s="6"/>
      <c r="P220" s="6"/>
      <c r="Q220" s="6"/>
      <c r="R220" s="6"/>
      <c r="S220" s="6"/>
      <c r="T220" s="6"/>
      <c r="U220" s="7"/>
    </row>
    <row r="221" ht="13.75" customHeight="1">
      <c r="A221" s="5"/>
      <c r="B221" s="608">
        <v>202</v>
      </c>
      <c r="C221" s="609">
        <f>IF($B$20:$B$499&lt;&gt;"",DATE(YEAR($E$11),MONTH($E$11)+($B$20:$B$499)*12/$E$10,DAY($E$11)),"")</f>
        <v>51410</v>
      </c>
      <c r="D221" s="610">
        <f>IF($B$20:$B$499&lt;&gt;"",J220,"")</f>
        <v>838995.5788018469</v>
      </c>
      <c r="E221" s="610">
        <f>IF($B$20:$B$499&lt;&gt;"",$K$7,"")</f>
        <v>24114.8980934895</v>
      </c>
      <c r="F221" s="610">
        <f>IF(AND($B$20:$B$499&lt;&gt;"",$E$20:$E$499+$E$12&lt;$D$20:$D$499),$E$12,IF(AND($B$20:$B$499&lt;&gt;"",$D$20:$D$499-$E$20:$E$499&gt;0),$D$20:$D$499-$E$20:$E$499,IF($B$20:$B$499&lt;&gt;"",0,"")))</f>
        <v>0</v>
      </c>
      <c r="G221" s="610">
        <f>IF(AND($B$20:$B$499&lt;&gt;"",$E$20:$E$499+$F$20:$F$499&lt;$D$20:$D$499),$E$20:$E$499+$F$20:$F$499,IF($B$20:$B$499&lt;&gt;"",$D$20:$D$499,""))</f>
        <v>24114.8980934895</v>
      </c>
      <c r="H221" s="610">
        <f>IF($B$20:$B$499&lt;&gt;"",$G$20:$G$499-$I$20:$I$499,"")</f>
        <v>19220.7572171454</v>
      </c>
      <c r="I221" s="610">
        <f>IF($B$20:$B$499&lt;&gt;"",$D$20:$D$499*$E$8/$E$10,"")</f>
        <v>4894.140876344110</v>
      </c>
      <c r="J221" s="610">
        <f>IF(AND($B$20:$B$499&lt;&gt;"",$E$20:$E$499+$F$20:$F$499&lt;$D$20:$D$499),$D$20:$D$499-$H$20:$H$499,IF($B$20:$B$499&lt;&gt;"",0,""))</f>
        <v>819774.821584702</v>
      </c>
      <c r="K221" s="610">
        <f>SUM($I$20:$I221)</f>
        <v>2580584.23646963</v>
      </c>
      <c r="L221" s="6"/>
      <c r="M221" s="6"/>
      <c r="N221" s="6"/>
      <c r="O221" s="6"/>
      <c r="P221" s="6"/>
      <c r="Q221" s="6"/>
      <c r="R221" s="6"/>
      <c r="S221" s="6"/>
      <c r="T221" s="6"/>
      <c r="U221" s="7"/>
    </row>
    <row r="222" ht="13.75" customHeight="1">
      <c r="A222" s="5"/>
      <c r="B222" s="608">
        <v>203</v>
      </c>
      <c r="C222" s="609">
        <f>IF($B$20:$B$499&lt;&gt;"",DATE(YEAR($E$11),MONTH($E$11)+($B$20:$B$499)*12/$E$10,DAY($E$11)),"")</f>
        <v>51441</v>
      </c>
      <c r="D222" s="610">
        <f>IF($B$20:$B$499&lt;&gt;"",J221,"")</f>
        <v>819774.821584702</v>
      </c>
      <c r="E222" s="610">
        <f>IF($B$20:$B$499&lt;&gt;"",$K$7,"")</f>
        <v>24114.8980934895</v>
      </c>
      <c r="F222" s="610">
        <f>IF(AND($B$20:$B$499&lt;&gt;"",$E$20:$E$499+$E$12&lt;$D$20:$D$499),$E$12,IF(AND($B$20:$B$499&lt;&gt;"",$D$20:$D$499-$E$20:$E$499&gt;0),$D$20:$D$499-$E$20:$E$499,IF($B$20:$B$499&lt;&gt;"",0,"")))</f>
        <v>0</v>
      </c>
      <c r="G222" s="610">
        <f>IF(AND($B$20:$B$499&lt;&gt;"",$E$20:$E$499+$F$20:$F$499&lt;$D$20:$D$499),$E$20:$E$499+$F$20:$F$499,IF($B$20:$B$499&lt;&gt;"",$D$20:$D$499,""))</f>
        <v>24114.8980934895</v>
      </c>
      <c r="H222" s="610">
        <f>IF($B$20:$B$499&lt;&gt;"",$G$20:$G$499-$I$20:$I$499,"")</f>
        <v>19332.8783009121</v>
      </c>
      <c r="I222" s="610">
        <f>IF($B$20:$B$499&lt;&gt;"",$D$20:$D$499*$E$8/$E$10,"")</f>
        <v>4782.019792577430</v>
      </c>
      <c r="J222" s="610">
        <f>IF(AND($B$20:$B$499&lt;&gt;"",$E$20:$E$499+$F$20:$F$499&lt;$D$20:$D$499),$D$20:$D$499-$H$20:$H$499,IF($B$20:$B$499&lt;&gt;"",0,""))</f>
        <v>800441.94328379</v>
      </c>
      <c r="K222" s="610">
        <f>SUM($I$20:$I222)</f>
        <v>2585366.25626221</v>
      </c>
      <c r="L222" s="6"/>
      <c r="M222" s="6"/>
      <c r="N222" s="6"/>
      <c r="O222" s="6"/>
      <c r="P222" s="6"/>
      <c r="Q222" s="6"/>
      <c r="R222" s="6"/>
      <c r="S222" s="6"/>
      <c r="T222" s="6"/>
      <c r="U222" s="7"/>
    </row>
    <row r="223" ht="13.75" customHeight="1">
      <c r="A223" s="5"/>
      <c r="B223" s="608">
        <v>204</v>
      </c>
      <c r="C223" s="609">
        <f>IF($B$20:$B$499&lt;&gt;"",DATE(YEAR($E$11),MONTH($E$11)+($B$20:$B$499)*12/$E$10,DAY($E$11)),"")</f>
        <v>51471</v>
      </c>
      <c r="D223" s="610">
        <f>IF($B$20:$B$499&lt;&gt;"",J222,"")</f>
        <v>800441.94328379</v>
      </c>
      <c r="E223" s="610">
        <f>IF($B$20:$B$499&lt;&gt;"",$K$7,"")</f>
        <v>24114.8980934895</v>
      </c>
      <c r="F223" s="610">
        <f>IF(AND($B$20:$B$499&lt;&gt;"",$E$20:$E$499+$E$12&lt;$D$20:$D$499),$E$12,IF(AND($B$20:$B$499&lt;&gt;"",$D$20:$D$499-$E$20:$E$499&gt;0),$D$20:$D$499-$E$20:$E$499,IF($B$20:$B$499&lt;&gt;"",0,"")))</f>
        <v>0</v>
      </c>
      <c r="G223" s="610">
        <f>IF(AND($B$20:$B$499&lt;&gt;"",$E$20:$E$499+$F$20:$F$499&lt;$D$20:$D$499),$E$20:$E$499+$F$20:$F$499,IF($B$20:$B$499&lt;&gt;"",$D$20:$D$499,""))</f>
        <v>24114.8980934895</v>
      </c>
      <c r="H223" s="610">
        <f>IF($B$20:$B$499&lt;&gt;"",$G$20:$G$499-$I$20:$I$499,"")</f>
        <v>19445.6534243341</v>
      </c>
      <c r="I223" s="610">
        <f>IF($B$20:$B$499&lt;&gt;"",$D$20:$D$499*$E$8/$E$10,"")</f>
        <v>4669.244669155440</v>
      </c>
      <c r="J223" s="610">
        <f>IF(AND($B$20:$B$499&lt;&gt;"",$E$20:$E$499+$F$20:$F$499&lt;$D$20:$D$499),$D$20:$D$499-$H$20:$H$499,IF($B$20:$B$499&lt;&gt;"",0,""))</f>
        <v>780996.289859456</v>
      </c>
      <c r="K223" s="610">
        <f>SUM($I$20:$I223)</f>
        <v>2590035.50093137</v>
      </c>
      <c r="L223" s="6"/>
      <c r="M223" s="6"/>
      <c r="N223" s="6"/>
      <c r="O223" s="6"/>
      <c r="P223" s="6"/>
      <c r="Q223" s="6"/>
      <c r="R223" s="6"/>
      <c r="S223" s="6"/>
      <c r="T223" s="6"/>
      <c r="U223" s="7"/>
    </row>
    <row r="224" ht="13.75" customHeight="1">
      <c r="A224" s="5"/>
      <c r="B224" s="608">
        <v>205</v>
      </c>
      <c r="C224" s="609">
        <f>IF($B$20:$B$499&lt;&gt;"",DATE(YEAR($E$11),MONTH($E$11)+($B$20:$B$499)*12/$E$10,DAY($E$11)),"")</f>
        <v>51502</v>
      </c>
      <c r="D224" s="610">
        <f>IF($B$20:$B$499&lt;&gt;"",J223,"")</f>
        <v>780996.289859456</v>
      </c>
      <c r="E224" s="610">
        <f>IF($B$20:$B$499&lt;&gt;"",$K$7,"")</f>
        <v>24114.8980934895</v>
      </c>
      <c r="F224" s="610">
        <f>IF(AND($B$20:$B$499&lt;&gt;"",$E$20:$E$499+$E$12&lt;$D$20:$D$499),$E$12,IF(AND($B$20:$B$499&lt;&gt;"",$D$20:$D$499-$E$20:$E$499&gt;0),$D$20:$D$499-$E$20:$E$499,IF($B$20:$B$499&lt;&gt;"",0,"")))</f>
        <v>0</v>
      </c>
      <c r="G224" s="610">
        <f>IF(AND($B$20:$B$499&lt;&gt;"",$E$20:$E$499+$F$20:$F$499&lt;$D$20:$D$499),$E$20:$E$499+$F$20:$F$499,IF($B$20:$B$499&lt;&gt;"",$D$20:$D$499,""))</f>
        <v>24114.8980934895</v>
      </c>
      <c r="H224" s="610">
        <f>IF($B$20:$B$499&lt;&gt;"",$G$20:$G$499-$I$20:$I$499,"")</f>
        <v>19559.0864026427</v>
      </c>
      <c r="I224" s="610">
        <f>IF($B$20:$B$499&lt;&gt;"",$D$20:$D$499*$E$8/$E$10,"")</f>
        <v>4555.811690846830</v>
      </c>
      <c r="J224" s="610">
        <f>IF(AND($B$20:$B$499&lt;&gt;"",$E$20:$E$499+$F$20:$F$499&lt;$D$20:$D$499),$D$20:$D$499-$H$20:$H$499,IF($B$20:$B$499&lt;&gt;"",0,""))</f>
        <v>761437.203456813</v>
      </c>
      <c r="K224" s="610">
        <f>SUM($I$20:$I224)</f>
        <v>2594591.31262221</v>
      </c>
      <c r="L224" s="6"/>
      <c r="M224" s="6"/>
      <c r="N224" s="6"/>
      <c r="O224" s="6"/>
      <c r="P224" s="6"/>
      <c r="Q224" s="6"/>
      <c r="R224" s="6"/>
      <c r="S224" s="6"/>
      <c r="T224" s="6"/>
      <c r="U224" s="7"/>
    </row>
    <row r="225" ht="13.75" customHeight="1">
      <c r="A225" s="5"/>
      <c r="B225" s="608">
        <v>206</v>
      </c>
      <c r="C225" s="609">
        <f>IF($B$20:$B$499&lt;&gt;"",DATE(YEAR($E$11),MONTH($E$11)+($B$20:$B$499)*12/$E$10,DAY($E$11)),"")</f>
        <v>51533</v>
      </c>
      <c r="D225" s="610">
        <f>IF($B$20:$B$499&lt;&gt;"",J224,"")</f>
        <v>761437.203456813</v>
      </c>
      <c r="E225" s="610">
        <f>IF($B$20:$B$499&lt;&gt;"",$K$7,"")</f>
        <v>24114.8980934895</v>
      </c>
      <c r="F225" s="610">
        <f>IF(AND($B$20:$B$499&lt;&gt;"",$E$20:$E$499+$E$12&lt;$D$20:$D$499),$E$12,IF(AND($B$20:$B$499&lt;&gt;"",$D$20:$D$499-$E$20:$E$499&gt;0),$D$20:$D$499-$E$20:$E$499,IF($B$20:$B$499&lt;&gt;"",0,"")))</f>
        <v>0</v>
      </c>
      <c r="G225" s="610">
        <f>IF(AND($B$20:$B$499&lt;&gt;"",$E$20:$E$499+$F$20:$F$499&lt;$D$20:$D$499),$E$20:$E$499+$F$20:$F$499,IF($B$20:$B$499&lt;&gt;"",$D$20:$D$499,""))</f>
        <v>24114.8980934895</v>
      </c>
      <c r="H225" s="610">
        <f>IF($B$20:$B$499&lt;&gt;"",$G$20:$G$499-$I$20:$I$499,"")</f>
        <v>19673.1810733248</v>
      </c>
      <c r="I225" s="610">
        <f>IF($B$20:$B$499&lt;&gt;"",$D$20:$D$499*$E$8/$E$10,"")</f>
        <v>4441.717020164740</v>
      </c>
      <c r="J225" s="610">
        <f>IF(AND($B$20:$B$499&lt;&gt;"",$E$20:$E$499+$F$20:$F$499&lt;$D$20:$D$499),$D$20:$D$499-$H$20:$H$499,IF($B$20:$B$499&lt;&gt;"",0,""))</f>
        <v>741764.022383488</v>
      </c>
      <c r="K225" s="610">
        <f>SUM($I$20:$I225)</f>
        <v>2599033.02964238</v>
      </c>
      <c r="L225" s="6"/>
      <c r="M225" s="6"/>
      <c r="N225" s="6"/>
      <c r="O225" s="6"/>
      <c r="P225" s="6"/>
      <c r="Q225" s="6"/>
      <c r="R225" s="6"/>
      <c r="S225" s="6"/>
      <c r="T225" s="6"/>
      <c r="U225" s="7"/>
    </row>
    <row r="226" ht="13.75" customHeight="1">
      <c r="A226" s="5"/>
      <c r="B226" s="608">
        <v>207</v>
      </c>
      <c r="C226" s="609">
        <f>IF($B$20:$B$499&lt;&gt;"",DATE(YEAR($E$11),MONTH($E$11)+($B$20:$B$499)*12/$E$10,DAY($E$11)),"")</f>
        <v>51561</v>
      </c>
      <c r="D226" s="610">
        <f>IF($B$20:$B$499&lt;&gt;"",J225,"")</f>
        <v>741764.022383488</v>
      </c>
      <c r="E226" s="610">
        <f>IF($B$20:$B$499&lt;&gt;"",$K$7,"")</f>
        <v>24114.8980934895</v>
      </c>
      <c r="F226" s="610">
        <f>IF(AND($B$20:$B$499&lt;&gt;"",$E$20:$E$499+$E$12&lt;$D$20:$D$499),$E$12,IF(AND($B$20:$B$499&lt;&gt;"",$D$20:$D$499-$E$20:$E$499&gt;0),$D$20:$D$499-$E$20:$E$499,IF($B$20:$B$499&lt;&gt;"",0,"")))</f>
        <v>0</v>
      </c>
      <c r="G226" s="610">
        <f>IF(AND($B$20:$B$499&lt;&gt;"",$E$20:$E$499+$F$20:$F$499&lt;$D$20:$D$499),$E$20:$E$499+$F$20:$F$499,IF($B$20:$B$499&lt;&gt;"",$D$20:$D$499,""))</f>
        <v>24114.8980934895</v>
      </c>
      <c r="H226" s="610">
        <f>IF($B$20:$B$499&lt;&gt;"",$G$20:$G$499-$I$20:$I$499,"")</f>
        <v>19787.9412962525</v>
      </c>
      <c r="I226" s="610">
        <f>IF($B$20:$B$499&lt;&gt;"",$D$20:$D$499*$E$8/$E$10,"")</f>
        <v>4326.956797237010</v>
      </c>
      <c r="J226" s="610">
        <f>IF(AND($B$20:$B$499&lt;&gt;"",$E$20:$E$499+$F$20:$F$499&lt;$D$20:$D$499),$D$20:$D$499-$H$20:$H$499,IF($B$20:$B$499&lt;&gt;"",0,""))</f>
        <v>721976.0810872359</v>
      </c>
      <c r="K226" s="610">
        <f>SUM($I$20:$I226)</f>
        <v>2603359.98643962</v>
      </c>
      <c r="L226" s="6"/>
      <c r="M226" s="6"/>
      <c r="N226" s="6"/>
      <c r="O226" s="6"/>
      <c r="P226" s="6"/>
      <c r="Q226" s="6"/>
      <c r="R226" s="6"/>
      <c r="S226" s="6"/>
      <c r="T226" s="6"/>
      <c r="U226" s="7"/>
    </row>
    <row r="227" ht="13.75" customHeight="1">
      <c r="A227" s="5"/>
      <c r="B227" s="608">
        <v>208</v>
      </c>
      <c r="C227" s="609">
        <f>IF($B$20:$B$499&lt;&gt;"",DATE(YEAR($E$11),MONTH($E$11)+($B$20:$B$499)*12/$E$10,DAY($E$11)),"")</f>
        <v>51592</v>
      </c>
      <c r="D227" s="610">
        <f>IF($B$20:$B$499&lt;&gt;"",J226,"")</f>
        <v>721976.0810872359</v>
      </c>
      <c r="E227" s="610">
        <f>IF($B$20:$B$499&lt;&gt;"",$K$7,"")</f>
        <v>24114.8980934895</v>
      </c>
      <c r="F227" s="610">
        <f>IF(AND($B$20:$B$499&lt;&gt;"",$E$20:$E$499+$E$12&lt;$D$20:$D$499),$E$12,IF(AND($B$20:$B$499&lt;&gt;"",$D$20:$D$499-$E$20:$E$499&gt;0),$D$20:$D$499-$E$20:$E$499,IF($B$20:$B$499&lt;&gt;"",0,"")))</f>
        <v>0</v>
      </c>
      <c r="G227" s="610">
        <f>IF(AND($B$20:$B$499&lt;&gt;"",$E$20:$E$499+$F$20:$F$499&lt;$D$20:$D$499),$E$20:$E$499+$F$20:$F$499,IF($B$20:$B$499&lt;&gt;"",$D$20:$D$499,""))</f>
        <v>24114.8980934895</v>
      </c>
      <c r="H227" s="610">
        <f>IF($B$20:$B$499&lt;&gt;"",$G$20:$G$499-$I$20:$I$499,"")</f>
        <v>19903.370953814</v>
      </c>
      <c r="I227" s="610">
        <f>IF($B$20:$B$499&lt;&gt;"",$D$20:$D$499*$E$8/$E$10,"")</f>
        <v>4211.527139675540</v>
      </c>
      <c r="J227" s="610">
        <f>IF(AND($B$20:$B$499&lt;&gt;"",$E$20:$E$499+$F$20:$F$499&lt;$D$20:$D$499),$D$20:$D$499-$H$20:$H$499,IF($B$20:$B$499&lt;&gt;"",0,""))</f>
        <v>702072.710133422</v>
      </c>
      <c r="K227" s="610">
        <f>SUM($I$20:$I227)</f>
        <v>2607571.51357929</v>
      </c>
      <c r="L227" s="6"/>
      <c r="M227" s="6"/>
      <c r="N227" s="6"/>
      <c r="O227" s="6"/>
      <c r="P227" s="6"/>
      <c r="Q227" s="6"/>
      <c r="R227" s="6"/>
      <c r="S227" s="6"/>
      <c r="T227" s="6"/>
      <c r="U227" s="7"/>
    </row>
    <row r="228" ht="13.75" customHeight="1">
      <c r="A228" s="5"/>
      <c r="B228" s="608">
        <v>209</v>
      </c>
      <c r="C228" s="609">
        <f>IF($B$20:$B$499&lt;&gt;"",DATE(YEAR($E$11),MONTH($E$11)+($B$20:$B$499)*12/$E$10,DAY($E$11)),"")</f>
        <v>51622</v>
      </c>
      <c r="D228" s="610">
        <f>IF($B$20:$B$499&lt;&gt;"",J227,"")</f>
        <v>702072.710133422</v>
      </c>
      <c r="E228" s="610">
        <f>IF($B$20:$B$499&lt;&gt;"",$K$7,"")</f>
        <v>24114.8980934895</v>
      </c>
      <c r="F228" s="610">
        <f>IF(AND($B$20:$B$499&lt;&gt;"",$E$20:$E$499+$E$12&lt;$D$20:$D$499),$E$12,IF(AND($B$20:$B$499&lt;&gt;"",$D$20:$D$499-$E$20:$E$499&gt;0),$D$20:$D$499-$E$20:$E$499,IF($B$20:$B$499&lt;&gt;"",0,"")))</f>
        <v>0</v>
      </c>
      <c r="G228" s="610">
        <f>IF(AND($B$20:$B$499&lt;&gt;"",$E$20:$E$499+$F$20:$F$499&lt;$D$20:$D$499),$E$20:$E$499+$F$20:$F$499,IF($B$20:$B$499&lt;&gt;"",$D$20:$D$499,""))</f>
        <v>24114.8980934895</v>
      </c>
      <c r="H228" s="610">
        <f>IF($B$20:$B$499&lt;&gt;"",$G$20:$G$499-$I$20:$I$499,"")</f>
        <v>20019.4739510445</v>
      </c>
      <c r="I228" s="610">
        <f>IF($B$20:$B$499&lt;&gt;"",$D$20:$D$499*$E$8/$E$10,"")</f>
        <v>4095.424142444960</v>
      </c>
      <c r="J228" s="610">
        <f>IF(AND($B$20:$B$499&lt;&gt;"",$E$20:$E$499+$F$20:$F$499&lt;$D$20:$D$499),$D$20:$D$499-$H$20:$H$499,IF($B$20:$B$499&lt;&gt;"",0,""))</f>
        <v>682053.236182378</v>
      </c>
      <c r="K228" s="610">
        <f>SUM($I$20:$I228)</f>
        <v>2611666.93772174</v>
      </c>
      <c r="L228" s="6"/>
      <c r="M228" s="6"/>
      <c r="N228" s="6"/>
      <c r="O228" s="6"/>
      <c r="P228" s="6"/>
      <c r="Q228" s="6"/>
      <c r="R228" s="6"/>
      <c r="S228" s="6"/>
      <c r="T228" s="6"/>
      <c r="U228" s="7"/>
    </row>
    <row r="229" ht="13.75" customHeight="1">
      <c r="A229" s="5"/>
      <c r="B229" s="608">
        <v>210</v>
      </c>
      <c r="C229" s="609">
        <f>IF($B$20:$B$499&lt;&gt;"",DATE(YEAR($E$11),MONTH($E$11)+($B$20:$B$499)*12/$E$10,DAY($E$11)),"")</f>
        <v>51653</v>
      </c>
      <c r="D229" s="610">
        <f>IF($B$20:$B$499&lt;&gt;"",J228,"")</f>
        <v>682053.236182378</v>
      </c>
      <c r="E229" s="610">
        <f>IF($B$20:$B$499&lt;&gt;"",$K$7,"")</f>
        <v>24114.8980934895</v>
      </c>
      <c r="F229" s="610">
        <f>IF(AND($B$20:$B$499&lt;&gt;"",$E$20:$E$499+$E$12&lt;$D$20:$D$499),$E$12,IF(AND($B$20:$B$499&lt;&gt;"",$D$20:$D$499-$E$20:$E$499&gt;0),$D$20:$D$499-$E$20:$E$499,IF($B$20:$B$499&lt;&gt;"",0,"")))</f>
        <v>0</v>
      </c>
      <c r="G229" s="610">
        <f>IF(AND($B$20:$B$499&lt;&gt;"",$E$20:$E$499+$F$20:$F$499&lt;$D$20:$D$499),$E$20:$E$499+$F$20:$F$499,IF($B$20:$B$499&lt;&gt;"",$D$20:$D$499,""))</f>
        <v>24114.8980934895</v>
      </c>
      <c r="H229" s="610">
        <f>IF($B$20:$B$499&lt;&gt;"",$G$20:$G$499-$I$20:$I$499,"")</f>
        <v>20136.254215759</v>
      </c>
      <c r="I229" s="610">
        <f>IF($B$20:$B$499&lt;&gt;"",$D$20:$D$499*$E$8/$E$10,"")</f>
        <v>3978.643877730540</v>
      </c>
      <c r="J229" s="610">
        <f>IF(AND($B$20:$B$499&lt;&gt;"",$E$20:$E$499+$F$20:$F$499&lt;$D$20:$D$499),$D$20:$D$499-$H$20:$H$499,IF($B$20:$B$499&lt;&gt;"",0,""))</f>
        <v>661916.981966619</v>
      </c>
      <c r="K229" s="610">
        <f>SUM($I$20:$I229)</f>
        <v>2615645.58159947</v>
      </c>
      <c r="L229" s="6"/>
      <c r="M229" s="6"/>
      <c r="N229" s="6"/>
      <c r="O229" s="6"/>
      <c r="P229" s="6"/>
      <c r="Q229" s="6"/>
      <c r="R229" s="6"/>
      <c r="S229" s="6"/>
      <c r="T229" s="6"/>
      <c r="U229" s="7"/>
    </row>
    <row r="230" ht="13.75" customHeight="1">
      <c r="A230" s="5"/>
      <c r="B230" s="608">
        <v>211</v>
      </c>
      <c r="C230" s="609">
        <f>IF($B$20:$B$499&lt;&gt;"",DATE(YEAR($E$11),MONTH($E$11)+($B$20:$B$499)*12/$E$10,DAY($E$11)),"")</f>
        <v>51683</v>
      </c>
      <c r="D230" s="610">
        <f>IF($B$20:$B$499&lt;&gt;"",J229,"")</f>
        <v>661916.981966619</v>
      </c>
      <c r="E230" s="610">
        <f>IF($B$20:$B$499&lt;&gt;"",$K$7,"")</f>
        <v>24114.8980934895</v>
      </c>
      <c r="F230" s="610">
        <f>IF(AND($B$20:$B$499&lt;&gt;"",$E$20:$E$499+$E$12&lt;$D$20:$D$499),$E$12,IF(AND($B$20:$B$499&lt;&gt;"",$D$20:$D$499-$E$20:$E$499&gt;0),$D$20:$D$499-$E$20:$E$499,IF($B$20:$B$499&lt;&gt;"",0,"")))</f>
        <v>0</v>
      </c>
      <c r="G230" s="610">
        <f>IF(AND($B$20:$B$499&lt;&gt;"",$E$20:$E$499+$F$20:$F$499&lt;$D$20:$D$499),$E$20:$E$499+$F$20:$F$499,IF($B$20:$B$499&lt;&gt;"",$D$20:$D$499,""))</f>
        <v>24114.8980934895</v>
      </c>
      <c r="H230" s="610">
        <f>IF($B$20:$B$499&lt;&gt;"",$G$20:$G$499-$I$20:$I$499,"")</f>
        <v>20253.7156986842</v>
      </c>
      <c r="I230" s="610">
        <f>IF($B$20:$B$499&lt;&gt;"",$D$20:$D$499*$E$8/$E$10,"")</f>
        <v>3861.182394805280</v>
      </c>
      <c r="J230" s="610">
        <f>IF(AND($B$20:$B$499&lt;&gt;"",$E$20:$E$499+$F$20:$F$499&lt;$D$20:$D$499),$D$20:$D$499-$H$20:$H$499,IF($B$20:$B$499&lt;&gt;"",0,""))</f>
        <v>641663.266267935</v>
      </c>
      <c r="K230" s="610">
        <f>SUM($I$20:$I230)</f>
        <v>2619506.76399427</v>
      </c>
      <c r="L230" s="6"/>
      <c r="M230" s="6"/>
      <c r="N230" s="6"/>
      <c r="O230" s="6"/>
      <c r="P230" s="6"/>
      <c r="Q230" s="6"/>
      <c r="R230" s="6"/>
      <c r="S230" s="6"/>
      <c r="T230" s="6"/>
      <c r="U230" s="7"/>
    </row>
    <row r="231" ht="13.75" customHeight="1">
      <c r="A231" s="5"/>
      <c r="B231" s="608">
        <v>212</v>
      </c>
      <c r="C231" s="609">
        <f>IF($B$20:$B$499&lt;&gt;"",DATE(YEAR($E$11),MONTH($E$11)+($B$20:$B$499)*12/$E$10,DAY($E$11)),"")</f>
        <v>51714</v>
      </c>
      <c r="D231" s="610">
        <f>IF($B$20:$B$499&lt;&gt;"",J230,"")</f>
        <v>641663.266267935</v>
      </c>
      <c r="E231" s="610">
        <f>IF($B$20:$B$499&lt;&gt;"",$K$7,"")</f>
        <v>24114.8980934895</v>
      </c>
      <c r="F231" s="610">
        <f>IF(AND($B$20:$B$499&lt;&gt;"",$E$20:$E$499+$E$12&lt;$D$20:$D$499),$E$12,IF(AND($B$20:$B$499&lt;&gt;"",$D$20:$D$499-$E$20:$E$499&gt;0),$D$20:$D$499-$E$20:$E$499,IF($B$20:$B$499&lt;&gt;"",0,"")))</f>
        <v>0</v>
      </c>
      <c r="G231" s="610">
        <f>IF(AND($B$20:$B$499&lt;&gt;"",$E$20:$E$499+$F$20:$F$499&lt;$D$20:$D$499),$E$20:$E$499+$F$20:$F$499,IF($B$20:$B$499&lt;&gt;"",$D$20:$D$499,""))</f>
        <v>24114.8980934895</v>
      </c>
      <c r="H231" s="610">
        <f>IF($B$20:$B$499&lt;&gt;"",$G$20:$G$499-$I$20:$I$499,"")</f>
        <v>20371.8623735932</v>
      </c>
      <c r="I231" s="610">
        <f>IF($B$20:$B$499&lt;&gt;"",$D$20:$D$499*$E$8/$E$10,"")</f>
        <v>3743.035719896290</v>
      </c>
      <c r="J231" s="610">
        <f>IF(AND($B$20:$B$499&lt;&gt;"",$E$20:$E$499+$F$20:$F$499&lt;$D$20:$D$499),$D$20:$D$499-$H$20:$H$499,IF($B$20:$B$499&lt;&gt;"",0,""))</f>
        <v>621291.403894342</v>
      </c>
      <c r="K231" s="610">
        <f>SUM($I$20:$I231)</f>
        <v>2623249.79971417</v>
      </c>
      <c r="L231" s="6"/>
      <c r="M231" s="6"/>
      <c r="N231" s="6"/>
      <c r="O231" s="6"/>
      <c r="P231" s="6"/>
      <c r="Q231" s="6"/>
      <c r="R231" s="6"/>
      <c r="S231" s="6"/>
      <c r="T231" s="6"/>
      <c r="U231" s="7"/>
    </row>
    <row r="232" ht="13.75" customHeight="1">
      <c r="A232" s="5"/>
      <c r="B232" s="608">
        <v>213</v>
      </c>
      <c r="C232" s="609">
        <f>IF($B$20:$B$499&lt;&gt;"",DATE(YEAR($E$11),MONTH($E$11)+($B$20:$B$499)*12/$E$10,DAY($E$11)),"")</f>
        <v>51745</v>
      </c>
      <c r="D232" s="610">
        <f>IF($B$20:$B$499&lt;&gt;"",J231,"")</f>
        <v>621291.403894342</v>
      </c>
      <c r="E232" s="610">
        <f>IF($B$20:$B$499&lt;&gt;"",$K$7,"")</f>
        <v>24114.8980934895</v>
      </c>
      <c r="F232" s="610">
        <f>IF(AND($B$20:$B$499&lt;&gt;"",$E$20:$E$499+$E$12&lt;$D$20:$D$499),$E$12,IF(AND($B$20:$B$499&lt;&gt;"",$D$20:$D$499-$E$20:$E$499&gt;0),$D$20:$D$499-$E$20:$E$499,IF($B$20:$B$499&lt;&gt;"",0,"")))</f>
        <v>0</v>
      </c>
      <c r="G232" s="610">
        <f>IF(AND($B$20:$B$499&lt;&gt;"",$E$20:$E$499+$F$20:$F$499&lt;$D$20:$D$499),$E$20:$E$499+$F$20:$F$499,IF($B$20:$B$499&lt;&gt;"",$D$20:$D$499,""))</f>
        <v>24114.8980934895</v>
      </c>
      <c r="H232" s="610">
        <f>IF($B$20:$B$499&lt;&gt;"",$G$20:$G$499-$I$20:$I$499,"")</f>
        <v>20490.6982374392</v>
      </c>
      <c r="I232" s="610">
        <f>IF($B$20:$B$499&lt;&gt;"",$D$20:$D$499*$E$8/$E$10,"")</f>
        <v>3624.199856050330</v>
      </c>
      <c r="J232" s="610">
        <f>IF(AND($B$20:$B$499&lt;&gt;"",$E$20:$E$499+$F$20:$F$499&lt;$D$20:$D$499),$D$20:$D$499-$H$20:$H$499,IF($B$20:$B$499&lt;&gt;"",0,""))</f>
        <v>600800.705656903</v>
      </c>
      <c r="K232" s="610">
        <f>SUM($I$20:$I232)</f>
        <v>2626873.99957022</v>
      </c>
      <c r="L232" s="6"/>
      <c r="M232" s="6"/>
      <c r="N232" s="6"/>
      <c r="O232" s="6"/>
      <c r="P232" s="6"/>
      <c r="Q232" s="6"/>
      <c r="R232" s="6"/>
      <c r="S232" s="6"/>
      <c r="T232" s="6"/>
      <c r="U232" s="7"/>
    </row>
    <row r="233" ht="13.75" customHeight="1">
      <c r="A233" s="5"/>
      <c r="B233" s="608">
        <v>214</v>
      </c>
      <c r="C233" s="609">
        <f>IF($B$20:$B$499&lt;&gt;"",DATE(YEAR($E$11),MONTH($E$11)+($B$20:$B$499)*12/$E$10,DAY($E$11)),"")</f>
        <v>51775</v>
      </c>
      <c r="D233" s="610">
        <f>IF($B$20:$B$499&lt;&gt;"",J232,"")</f>
        <v>600800.705656903</v>
      </c>
      <c r="E233" s="610">
        <f>IF($B$20:$B$499&lt;&gt;"",$K$7,"")</f>
        <v>24114.8980934895</v>
      </c>
      <c r="F233" s="610">
        <f>IF(AND($B$20:$B$499&lt;&gt;"",$E$20:$E$499+$E$12&lt;$D$20:$D$499),$E$12,IF(AND($B$20:$B$499&lt;&gt;"",$D$20:$D$499-$E$20:$E$499&gt;0),$D$20:$D$499-$E$20:$E$499,IF($B$20:$B$499&lt;&gt;"",0,"")))</f>
        <v>0</v>
      </c>
      <c r="G233" s="610">
        <f>IF(AND($B$20:$B$499&lt;&gt;"",$E$20:$E$499+$F$20:$F$499&lt;$D$20:$D$499),$E$20:$E$499+$F$20:$F$499,IF($B$20:$B$499&lt;&gt;"",$D$20:$D$499,""))</f>
        <v>24114.8980934895</v>
      </c>
      <c r="H233" s="610">
        <f>IF($B$20:$B$499&lt;&gt;"",$G$20:$G$499-$I$20:$I$499,"")</f>
        <v>20610.2273104909</v>
      </c>
      <c r="I233" s="610">
        <f>IF($B$20:$B$499&lt;&gt;"",$D$20:$D$499*$E$8/$E$10,"")</f>
        <v>3504.6707829986</v>
      </c>
      <c r="J233" s="610">
        <f>IF(AND($B$20:$B$499&lt;&gt;"",$E$20:$E$499+$F$20:$F$499&lt;$D$20:$D$499),$D$20:$D$499-$H$20:$H$499,IF($B$20:$B$499&lt;&gt;"",0,""))</f>
        <v>580190.478346412</v>
      </c>
      <c r="K233" s="610">
        <f>SUM($I$20:$I233)</f>
        <v>2630378.67035322</v>
      </c>
      <c r="L233" s="6"/>
      <c r="M233" s="6"/>
      <c r="N233" s="6"/>
      <c r="O233" s="6"/>
      <c r="P233" s="6"/>
      <c r="Q233" s="6"/>
      <c r="R233" s="6"/>
      <c r="S233" s="6"/>
      <c r="T233" s="6"/>
      <c r="U233" s="7"/>
    </row>
    <row r="234" ht="13.75" customHeight="1">
      <c r="A234" s="5"/>
      <c r="B234" s="608">
        <v>215</v>
      </c>
      <c r="C234" s="609">
        <f>IF($B$20:$B$499&lt;&gt;"",DATE(YEAR($E$11),MONTH($E$11)+($B$20:$B$499)*12/$E$10,DAY($E$11)),"")</f>
        <v>51806</v>
      </c>
      <c r="D234" s="610">
        <f>IF($B$20:$B$499&lt;&gt;"",J233,"")</f>
        <v>580190.478346412</v>
      </c>
      <c r="E234" s="610">
        <f>IF($B$20:$B$499&lt;&gt;"",$K$7,"")</f>
        <v>24114.8980934895</v>
      </c>
      <c r="F234" s="610">
        <f>IF(AND($B$20:$B$499&lt;&gt;"",$E$20:$E$499+$E$12&lt;$D$20:$D$499),$E$12,IF(AND($B$20:$B$499&lt;&gt;"",$D$20:$D$499-$E$20:$E$499&gt;0),$D$20:$D$499-$E$20:$E$499,IF($B$20:$B$499&lt;&gt;"",0,"")))</f>
        <v>0</v>
      </c>
      <c r="G234" s="610">
        <f>IF(AND($B$20:$B$499&lt;&gt;"",$E$20:$E$499+$F$20:$F$499&lt;$D$20:$D$499),$E$20:$E$499+$F$20:$F$499,IF($B$20:$B$499&lt;&gt;"",$D$20:$D$499,""))</f>
        <v>24114.8980934895</v>
      </c>
      <c r="H234" s="610">
        <f>IF($B$20:$B$499&lt;&gt;"",$G$20:$G$499-$I$20:$I$499,"")</f>
        <v>20730.4536364688</v>
      </c>
      <c r="I234" s="610">
        <f>IF($B$20:$B$499&lt;&gt;"",$D$20:$D$499*$E$8/$E$10,"")</f>
        <v>3384.444457020740</v>
      </c>
      <c r="J234" s="610">
        <f>IF(AND($B$20:$B$499&lt;&gt;"",$E$20:$E$499+$F$20:$F$499&lt;$D$20:$D$499),$D$20:$D$499-$H$20:$H$499,IF($B$20:$B$499&lt;&gt;"",0,""))</f>
        <v>559460.024709943</v>
      </c>
      <c r="K234" s="610">
        <f>SUM($I$20:$I234)</f>
        <v>2633763.11481024</v>
      </c>
      <c r="L234" s="6"/>
      <c r="M234" s="6"/>
      <c r="N234" s="6"/>
      <c r="O234" s="6"/>
      <c r="P234" s="6"/>
      <c r="Q234" s="6"/>
      <c r="R234" s="6"/>
      <c r="S234" s="6"/>
      <c r="T234" s="6"/>
      <c r="U234" s="7"/>
    </row>
    <row r="235" ht="13.75" customHeight="1">
      <c r="A235" s="5"/>
      <c r="B235" s="608">
        <v>216</v>
      </c>
      <c r="C235" s="609">
        <f>IF($B$20:$B$499&lt;&gt;"",DATE(YEAR($E$11),MONTH($E$11)+($B$20:$B$499)*12/$E$10,DAY($E$11)),"")</f>
        <v>51836</v>
      </c>
      <c r="D235" s="610">
        <f>IF($B$20:$B$499&lt;&gt;"",J234,"")</f>
        <v>559460.024709943</v>
      </c>
      <c r="E235" s="610">
        <f>IF($B$20:$B$499&lt;&gt;"",$K$7,"")</f>
        <v>24114.8980934895</v>
      </c>
      <c r="F235" s="610">
        <f>IF(AND($B$20:$B$499&lt;&gt;"",$E$20:$E$499+$E$12&lt;$D$20:$D$499),$E$12,IF(AND($B$20:$B$499&lt;&gt;"",$D$20:$D$499-$E$20:$E$499&gt;0),$D$20:$D$499-$E$20:$E$499,IF($B$20:$B$499&lt;&gt;"",0,"")))</f>
        <v>0</v>
      </c>
      <c r="G235" s="610">
        <f>IF(AND($B$20:$B$499&lt;&gt;"",$E$20:$E$499+$F$20:$F$499&lt;$D$20:$D$499),$E$20:$E$499+$F$20:$F$499,IF($B$20:$B$499&lt;&gt;"",$D$20:$D$499,""))</f>
        <v>24114.8980934895</v>
      </c>
      <c r="H235" s="610">
        <f>IF($B$20:$B$499&lt;&gt;"",$G$20:$G$499-$I$20:$I$499,"")</f>
        <v>20851.3812826815</v>
      </c>
      <c r="I235" s="610">
        <f>IF($B$20:$B$499&lt;&gt;"",$D$20:$D$499*$E$8/$E$10,"")</f>
        <v>3263.516810808</v>
      </c>
      <c r="J235" s="610">
        <f>IF(AND($B$20:$B$499&lt;&gt;"",$E$20:$E$499+$F$20:$F$499&lt;$D$20:$D$499),$D$20:$D$499-$H$20:$H$499,IF($B$20:$B$499&lt;&gt;"",0,""))</f>
        <v>538608.643427262</v>
      </c>
      <c r="K235" s="610">
        <f>SUM($I$20:$I235)</f>
        <v>2637026.63162105</v>
      </c>
      <c r="L235" s="6"/>
      <c r="M235" s="6"/>
      <c r="N235" s="6"/>
      <c r="O235" s="6"/>
      <c r="P235" s="6"/>
      <c r="Q235" s="6"/>
      <c r="R235" s="6"/>
      <c r="S235" s="6"/>
      <c r="T235" s="6"/>
      <c r="U235" s="7"/>
    </row>
    <row r="236" ht="13.75" customHeight="1">
      <c r="A236" s="5"/>
      <c r="B236" s="608">
        <v>217</v>
      </c>
      <c r="C236" s="609">
        <f>IF($B$20:$B$499&lt;&gt;"",DATE(YEAR($E$11),MONTH($E$11)+($B$20:$B$499)*12/$E$10,DAY($E$11)),"")</f>
        <v>51867</v>
      </c>
      <c r="D236" s="610">
        <f>IF($B$20:$B$499&lt;&gt;"",J235,"")</f>
        <v>538608.643427262</v>
      </c>
      <c r="E236" s="610">
        <f>IF($B$20:$B$499&lt;&gt;"",$K$7,"")</f>
        <v>24114.8980934895</v>
      </c>
      <c r="F236" s="610">
        <f>IF(AND($B$20:$B$499&lt;&gt;"",$E$20:$E$499+$E$12&lt;$D$20:$D$499),$E$12,IF(AND($B$20:$B$499&lt;&gt;"",$D$20:$D$499-$E$20:$E$499&gt;0),$D$20:$D$499-$E$20:$E$499,IF($B$20:$B$499&lt;&gt;"",0,"")))</f>
        <v>0</v>
      </c>
      <c r="G236" s="610">
        <f>IF(AND($B$20:$B$499&lt;&gt;"",$E$20:$E$499+$F$20:$F$499&lt;$D$20:$D$499),$E$20:$E$499+$F$20:$F$499,IF($B$20:$B$499&lt;&gt;"",$D$20:$D$499,""))</f>
        <v>24114.8980934895</v>
      </c>
      <c r="H236" s="610">
        <f>IF($B$20:$B$499&lt;&gt;"",$G$20:$G$499-$I$20:$I$499,"")</f>
        <v>20973.0143401638</v>
      </c>
      <c r="I236" s="610">
        <f>IF($B$20:$B$499&lt;&gt;"",$D$20:$D$499*$E$8/$E$10,"")</f>
        <v>3141.8837533257</v>
      </c>
      <c r="J236" s="610">
        <f>IF(AND($B$20:$B$499&lt;&gt;"",$E$20:$E$499+$F$20:$F$499&lt;$D$20:$D$499),$D$20:$D$499-$H$20:$H$499,IF($B$20:$B$499&lt;&gt;"",0,""))</f>
        <v>517635.629087098</v>
      </c>
      <c r="K236" s="610">
        <f>SUM($I$20:$I236)</f>
        <v>2640168.51537437</v>
      </c>
      <c r="L236" s="6"/>
      <c r="M236" s="6"/>
      <c r="N236" s="6"/>
      <c r="O236" s="6"/>
      <c r="P236" s="6"/>
      <c r="Q236" s="6"/>
      <c r="R236" s="6"/>
      <c r="S236" s="6"/>
      <c r="T236" s="6"/>
      <c r="U236" s="7"/>
    </row>
    <row r="237" ht="13.75" customHeight="1">
      <c r="A237" s="5"/>
      <c r="B237" s="608">
        <v>218</v>
      </c>
      <c r="C237" s="609">
        <f>IF($B$20:$B$499&lt;&gt;"",DATE(YEAR($E$11),MONTH($E$11)+($B$20:$B$499)*12/$E$10,DAY($E$11)),"")</f>
        <v>51898</v>
      </c>
      <c r="D237" s="610">
        <f>IF($B$20:$B$499&lt;&gt;"",J236,"")</f>
        <v>517635.629087098</v>
      </c>
      <c r="E237" s="610">
        <f>IF($B$20:$B$499&lt;&gt;"",$K$7,"")</f>
        <v>24114.8980934895</v>
      </c>
      <c r="F237" s="610">
        <f>IF(AND($B$20:$B$499&lt;&gt;"",$E$20:$E$499+$E$12&lt;$D$20:$D$499),$E$12,IF(AND($B$20:$B$499&lt;&gt;"",$D$20:$D$499-$E$20:$E$499&gt;0),$D$20:$D$499-$E$20:$E$499,IF($B$20:$B$499&lt;&gt;"",0,"")))</f>
        <v>0</v>
      </c>
      <c r="G237" s="610">
        <f>IF(AND($B$20:$B$499&lt;&gt;"",$E$20:$E$499+$F$20:$F$499&lt;$D$20:$D$499),$E$20:$E$499+$F$20:$F$499,IF($B$20:$B$499&lt;&gt;"",$D$20:$D$499,""))</f>
        <v>24114.8980934895</v>
      </c>
      <c r="H237" s="610">
        <f>IF($B$20:$B$499&lt;&gt;"",$G$20:$G$499-$I$20:$I$499,"")</f>
        <v>21095.3569238148</v>
      </c>
      <c r="I237" s="610">
        <f>IF($B$20:$B$499&lt;&gt;"",$D$20:$D$499*$E$8/$E$10,"")</f>
        <v>3019.541169674740</v>
      </c>
      <c r="J237" s="610">
        <f>IF(AND($B$20:$B$499&lt;&gt;"",$E$20:$E$499+$F$20:$F$499&lt;$D$20:$D$499),$D$20:$D$499-$H$20:$H$499,IF($B$20:$B$499&lt;&gt;"",0,""))</f>
        <v>496540.272163283</v>
      </c>
      <c r="K237" s="610">
        <f>SUM($I$20:$I237)</f>
        <v>2643188.05654405</v>
      </c>
      <c r="L237" s="6"/>
      <c r="M237" s="6"/>
      <c r="N237" s="6"/>
      <c r="O237" s="6"/>
      <c r="P237" s="6"/>
      <c r="Q237" s="6"/>
      <c r="R237" s="6"/>
      <c r="S237" s="6"/>
      <c r="T237" s="6"/>
      <c r="U237" s="7"/>
    </row>
    <row r="238" ht="13.75" customHeight="1">
      <c r="A238" s="5"/>
      <c r="B238" s="608">
        <v>219</v>
      </c>
      <c r="C238" s="609">
        <f>IF($B$20:$B$499&lt;&gt;"",DATE(YEAR($E$11),MONTH($E$11)+($B$20:$B$499)*12/$E$10,DAY($E$11)),"")</f>
        <v>51926</v>
      </c>
      <c r="D238" s="610">
        <f>IF($B$20:$B$499&lt;&gt;"",J237,"")</f>
        <v>496540.272163283</v>
      </c>
      <c r="E238" s="610">
        <f>IF($B$20:$B$499&lt;&gt;"",$K$7,"")</f>
        <v>24114.8980934895</v>
      </c>
      <c r="F238" s="610">
        <f>IF(AND($B$20:$B$499&lt;&gt;"",$E$20:$E$499+$E$12&lt;$D$20:$D$499),$E$12,IF(AND($B$20:$B$499&lt;&gt;"",$D$20:$D$499-$E$20:$E$499&gt;0),$D$20:$D$499-$E$20:$E$499,IF($B$20:$B$499&lt;&gt;"",0,"")))</f>
        <v>0</v>
      </c>
      <c r="G238" s="610">
        <f>IF(AND($B$20:$B$499&lt;&gt;"",$E$20:$E$499+$F$20:$F$499&lt;$D$20:$D$499),$E$20:$E$499+$F$20:$F$499,IF($B$20:$B$499&lt;&gt;"",$D$20:$D$499,""))</f>
        <v>24114.8980934895</v>
      </c>
      <c r="H238" s="610">
        <f>IF($B$20:$B$499&lt;&gt;"",$G$20:$G$499-$I$20:$I$499,"")</f>
        <v>21218.413172537</v>
      </c>
      <c r="I238" s="610">
        <f>IF($B$20:$B$499&lt;&gt;"",$D$20:$D$499*$E$8/$E$10,"")</f>
        <v>2896.484920952480</v>
      </c>
      <c r="J238" s="610">
        <f>IF(AND($B$20:$B$499&lt;&gt;"",$E$20:$E$499+$F$20:$F$499&lt;$D$20:$D$499),$D$20:$D$499-$H$20:$H$499,IF($B$20:$B$499&lt;&gt;"",0,""))</f>
        <v>475321.858990746</v>
      </c>
      <c r="K238" s="610">
        <f>SUM($I$20:$I238)</f>
        <v>2646084.541465</v>
      </c>
      <c r="L238" s="6"/>
      <c r="M238" s="6"/>
      <c r="N238" s="6"/>
      <c r="O238" s="6"/>
      <c r="P238" s="6"/>
      <c r="Q238" s="6"/>
      <c r="R238" s="6"/>
      <c r="S238" s="6"/>
      <c r="T238" s="6"/>
      <c r="U238" s="7"/>
    </row>
    <row r="239" ht="13.75" customHeight="1">
      <c r="A239" s="5"/>
      <c r="B239" s="608">
        <v>220</v>
      </c>
      <c r="C239" s="609">
        <f>IF($B$20:$B$499&lt;&gt;"",DATE(YEAR($E$11),MONTH($E$11)+($B$20:$B$499)*12/$E$10,DAY($E$11)),"")</f>
        <v>51957</v>
      </c>
      <c r="D239" s="610">
        <f>IF($B$20:$B$499&lt;&gt;"",J238,"")</f>
        <v>475321.858990746</v>
      </c>
      <c r="E239" s="610">
        <f>IF($B$20:$B$499&lt;&gt;"",$K$7,"")</f>
        <v>24114.8980934895</v>
      </c>
      <c r="F239" s="610">
        <f>IF(AND($B$20:$B$499&lt;&gt;"",$E$20:$E$499+$E$12&lt;$D$20:$D$499),$E$12,IF(AND($B$20:$B$499&lt;&gt;"",$D$20:$D$499-$E$20:$E$499&gt;0),$D$20:$D$499-$E$20:$E$499,IF($B$20:$B$499&lt;&gt;"",0,"")))</f>
        <v>0</v>
      </c>
      <c r="G239" s="610">
        <f>IF(AND($B$20:$B$499&lt;&gt;"",$E$20:$E$499+$F$20:$F$499&lt;$D$20:$D$499),$E$20:$E$499+$F$20:$F$499,IF($B$20:$B$499&lt;&gt;"",$D$20:$D$499,""))</f>
        <v>24114.8980934895</v>
      </c>
      <c r="H239" s="610">
        <f>IF($B$20:$B$499&lt;&gt;"",$G$20:$G$499-$I$20:$I$499,"")</f>
        <v>21342.1872493768</v>
      </c>
      <c r="I239" s="610">
        <f>IF($B$20:$B$499&lt;&gt;"",$D$20:$D$499*$E$8/$E$10,"")</f>
        <v>2772.710844112690</v>
      </c>
      <c r="J239" s="610">
        <f>IF(AND($B$20:$B$499&lt;&gt;"",$E$20:$E$499+$F$20:$F$499&lt;$D$20:$D$499),$D$20:$D$499-$H$20:$H$499,IF($B$20:$B$499&lt;&gt;"",0,""))</f>
        <v>453979.671741369</v>
      </c>
      <c r="K239" s="610">
        <f>SUM($I$20:$I239)</f>
        <v>2648857.25230911</v>
      </c>
      <c r="L239" s="6"/>
      <c r="M239" s="6"/>
      <c r="N239" s="6"/>
      <c r="O239" s="6"/>
      <c r="P239" s="6"/>
      <c r="Q239" s="6"/>
      <c r="R239" s="6"/>
      <c r="S239" s="6"/>
      <c r="T239" s="6"/>
      <c r="U239" s="7"/>
    </row>
    <row r="240" ht="13.75" customHeight="1">
      <c r="A240" s="5"/>
      <c r="B240" s="608">
        <v>221</v>
      </c>
      <c r="C240" s="609">
        <f>IF($B$20:$B$499&lt;&gt;"",DATE(YEAR($E$11),MONTH($E$11)+($B$20:$B$499)*12/$E$10,DAY($E$11)),"")</f>
        <v>51987</v>
      </c>
      <c r="D240" s="610">
        <f>IF($B$20:$B$499&lt;&gt;"",J239,"")</f>
        <v>453979.671741369</v>
      </c>
      <c r="E240" s="610">
        <f>IF($B$20:$B$499&lt;&gt;"",$K$7,"")</f>
        <v>24114.8980934895</v>
      </c>
      <c r="F240" s="610">
        <f>IF(AND($B$20:$B$499&lt;&gt;"",$E$20:$E$499+$E$12&lt;$D$20:$D$499),$E$12,IF(AND($B$20:$B$499&lt;&gt;"",$D$20:$D$499-$E$20:$E$499&gt;0),$D$20:$D$499-$E$20:$E$499,IF($B$20:$B$499&lt;&gt;"",0,"")))</f>
        <v>0</v>
      </c>
      <c r="G240" s="610">
        <f>IF(AND($B$20:$B$499&lt;&gt;"",$E$20:$E$499+$F$20:$F$499&lt;$D$20:$D$499),$E$20:$E$499+$F$20:$F$499,IF($B$20:$B$499&lt;&gt;"",$D$20:$D$499,""))</f>
        <v>24114.8980934895</v>
      </c>
      <c r="H240" s="610">
        <f>IF($B$20:$B$499&lt;&gt;"",$G$20:$G$499-$I$20:$I$499,"")</f>
        <v>21466.6833416649</v>
      </c>
      <c r="I240" s="610">
        <f>IF($B$20:$B$499&lt;&gt;"",$D$20:$D$499*$E$8/$E$10,"")</f>
        <v>2648.214751824650</v>
      </c>
      <c r="J240" s="610">
        <f>IF(AND($B$20:$B$499&lt;&gt;"",$E$20:$E$499+$F$20:$F$499&lt;$D$20:$D$499),$D$20:$D$499-$H$20:$H$499,IF($B$20:$B$499&lt;&gt;"",0,""))</f>
        <v>432512.988399704</v>
      </c>
      <c r="K240" s="610">
        <f>SUM($I$20:$I240)</f>
        <v>2651505.46706094</v>
      </c>
      <c r="L240" s="6"/>
      <c r="M240" s="6"/>
      <c r="N240" s="6"/>
      <c r="O240" s="6"/>
      <c r="P240" s="6"/>
      <c r="Q240" s="6"/>
      <c r="R240" s="6"/>
      <c r="S240" s="6"/>
      <c r="T240" s="6"/>
      <c r="U240" s="7"/>
    </row>
    <row r="241" ht="13.75" customHeight="1">
      <c r="A241" s="5"/>
      <c r="B241" s="608">
        <v>222</v>
      </c>
      <c r="C241" s="609">
        <f>IF($B$20:$B$499&lt;&gt;"",DATE(YEAR($E$11),MONTH($E$11)+($B$20:$B$499)*12/$E$10,DAY($E$11)),"")</f>
        <v>52018</v>
      </c>
      <c r="D241" s="610">
        <f>IF($B$20:$B$499&lt;&gt;"",J240,"")</f>
        <v>432512.988399704</v>
      </c>
      <c r="E241" s="610">
        <f>IF($B$20:$B$499&lt;&gt;"",$K$7,"")</f>
        <v>24114.8980934895</v>
      </c>
      <c r="F241" s="610">
        <f>IF(AND($B$20:$B$499&lt;&gt;"",$E$20:$E$499+$E$12&lt;$D$20:$D$499),$E$12,IF(AND($B$20:$B$499&lt;&gt;"",$D$20:$D$499-$E$20:$E$499&gt;0),$D$20:$D$499-$E$20:$E$499,IF($B$20:$B$499&lt;&gt;"",0,"")))</f>
        <v>0</v>
      </c>
      <c r="G241" s="610">
        <f>IF(AND($B$20:$B$499&lt;&gt;"",$E$20:$E$499+$F$20:$F$499&lt;$D$20:$D$499),$E$20:$E$499+$F$20:$F$499,IF($B$20:$B$499&lt;&gt;"",$D$20:$D$499,""))</f>
        <v>24114.8980934895</v>
      </c>
      <c r="H241" s="610">
        <f>IF($B$20:$B$499&lt;&gt;"",$G$20:$G$499-$I$20:$I$499,"")</f>
        <v>21591.9056611579</v>
      </c>
      <c r="I241" s="610">
        <f>IF($B$20:$B$499&lt;&gt;"",$D$20:$D$499*$E$8/$E$10,"")</f>
        <v>2522.992432331610</v>
      </c>
      <c r="J241" s="610">
        <f>IF(AND($B$20:$B$499&lt;&gt;"",$E$20:$E$499+$F$20:$F$499&lt;$D$20:$D$499),$D$20:$D$499-$H$20:$H$499,IF($B$20:$B$499&lt;&gt;"",0,""))</f>
        <v>410921.082738546</v>
      </c>
      <c r="K241" s="610">
        <f>SUM($I$20:$I241)</f>
        <v>2654028.45949327</v>
      </c>
      <c r="L241" s="6"/>
      <c r="M241" s="6"/>
      <c r="N241" s="6"/>
      <c r="O241" s="6"/>
      <c r="P241" s="6"/>
      <c r="Q241" s="6"/>
      <c r="R241" s="6"/>
      <c r="S241" s="6"/>
      <c r="T241" s="6"/>
      <c r="U241" s="7"/>
    </row>
    <row r="242" ht="13.75" customHeight="1">
      <c r="A242" s="5"/>
      <c r="B242" s="608">
        <v>223</v>
      </c>
      <c r="C242" s="609">
        <f>IF($B$20:$B$499&lt;&gt;"",DATE(YEAR($E$11),MONTH($E$11)+($B$20:$B$499)*12/$E$10,DAY($E$11)),"")</f>
        <v>52048</v>
      </c>
      <c r="D242" s="610">
        <f>IF($B$20:$B$499&lt;&gt;"",J241,"")</f>
        <v>410921.082738546</v>
      </c>
      <c r="E242" s="610">
        <f>IF($B$20:$B$499&lt;&gt;"",$K$7,"")</f>
        <v>24114.8980934895</v>
      </c>
      <c r="F242" s="610">
        <f>IF(AND($B$20:$B$499&lt;&gt;"",$E$20:$E$499+$E$12&lt;$D$20:$D$499),$E$12,IF(AND($B$20:$B$499&lt;&gt;"",$D$20:$D$499-$E$20:$E$499&gt;0),$D$20:$D$499-$E$20:$E$499,IF($B$20:$B$499&lt;&gt;"",0,"")))</f>
        <v>0</v>
      </c>
      <c r="G242" s="610">
        <f>IF(AND($B$20:$B$499&lt;&gt;"",$E$20:$E$499+$F$20:$F$499&lt;$D$20:$D$499),$E$20:$E$499+$F$20:$F$499,IF($B$20:$B$499&lt;&gt;"",$D$20:$D$499,""))</f>
        <v>24114.8980934895</v>
      </c>
      <c r="H242" s="610">
        <f>IF($B$20:$B$499&lt;&gt;"",$G$20:$G$499-$I$20:$I$499,"")</f>
        <v>21717.8584441813</v>
      </c>
      <c r="I242" s="610">
        <f>IF($B$20:$B$499&lt;&gt;"",$D$20:$D$499*$E$8/$E$10,"")</f>
        <v>2397.039649308190</v>
      </c>
      <c r="J242" s="610">
        <f>IF(AND($B$20:$B$499&lt;&gt;"",$E$20:$E$499+$F$20:$F$499&lt;$D$20:$D$499),$D$20:$D$499-$H$20:$H$499,IF($B$20:$B$499&lt;&gt;"",0,""))</f>
        <v>389203.224294365</v>
      </c>
      <c r="K242" s="610">
        <f>SUM($I$20:$I242)</f>
        <v>2656425.49914258</v>
      </c>
      <c r="L242" s="6"/>
      <c r="M242" s="6"/>
      <c r="N242" s="6"/>
      <c r="O242" s="6"/>
      <c r="P242" s="6"/>
      <c r="Q242" s="6"/>
      <c r="R242" s="6"/>
      <c r="S242" s="6"/>
      <c r="T242" s="6"/>
      <c r="U242" s="7"/>
    </row>
    <row r="243" ht="13.75" customHeight="1">
      <c r="A243" s="5"/>
      <c r="B243" s="608">
        <v>224</v>
      </c>
      <c r="C243" s="609">
        <f>IF($B$20:$B$499&lt;&gt;"",DATE(YEAR($E$11),MONTH($E$11)+($B$20:$B$499)*12/$E$10,DAY($E$11)),"")</f>
        <v>52079</v>
      </c>
      <c r="D243" s="610">
        <f>IF($B$20:$B$499&lt;&gt;"",J242,"")</f>
        <v>389203.224294365</v>
      </c>
      <c r="E243" s="610">
        <f>IF($B$20:$B$499&lt;&gt;"",$K$7,"")</f>
        <v>24114.8980934895</v>
      </c>
      <c r="F243" s="610">
        <f>IF(AND($B$20:$B$499&lt;&gt;"",$E$20:$E$499+$E$12&lt;$D$20:$D$499),$E$12,IF(AND($B$20:$B$499&lt;&gt;"",$D$20:$D$499-$E$20:$E$499&gt;0),$D$20:$D$499-$E$20:$E$499,IF($B$20:$B$499&lt;&gt;"",0,"")))</f>
        <v>0</v>
      </c>
      <c r="G243" s="610">
        <f>IF(AND($B$20:$B$499&lt;&gt;"",$E$20:$E$499+$F$20:$F$499&lt;$D$20:$D$499),$E$20:$E$499+$F$20:$F$499,IF($B$20:$B$499&lt;&gt;"",$D$20:$D$499,""))</f>
        <v>24114.8980934895</v>
      </c>
      <c r="H243" s="610">
        <f>IF($B$20:$B$499&lt;&gt;"",$G$20:$G$499-$I$20:$I$499,"")</f>
        <v>21844.5459517724</v>
      </c>
      <c r="I243" s="610">
        <f>IF($B$20:$B$499&lt;&gt;"",$D$20:$D$499*$E$8/$E$10,"")</f>
        <v>2270.352141717130</v>
      </c>
      <c r="J243" s="610">
        <f>IF(AND($B$20:$B$499&lt;&gt;"",$E$20:$E$499+$F$20:$F$499&lt;$D$20:$D$499),$D$20:$D$499-$H$20:$H$499,IF($B$20:$B$499&lt;&gt;"",0,""))</f>
        <v>367358.678342593</v>
      </c>
      <c r="K243" s="610">
        <f>SUM($I$20:$I243)</f>
        <v>2658695.85128429</v>
      </c>
      <c r="L243" s="6"/>
      <c r="M243" s="6"/>
      <c r="N243" s="6"/>
      <c r="O243" s="6"/>
      <c r="P243" s="6"/>
      <c r="Q243" s="6"/>
      <c r="R243" s="6"/>
      <c r="S243" s="6"/>
      <c r="T243" s="6"/>
      <c r="U243" s="7"/>
    </row>
    <row r="244" ht="13.75" customHeight="1">
      <c r="A244" s="5"/>
      <c r="B244" s="608">
        <v>225</v>
      </c>
      <c r="C244" s="609">
        <f>IF($B$20:$B$499&lt;&gt;"",DATE(YEAR($E$11),MONTH($E$11)+($B$20:$B$499)*12/$E$10,DAY($E$11)),"")</f>
        <v>52110</v>
      </c>
      <c r="D244" s="610">
        <f>IF($B$20:$B$499&lt;&gt;"",J243,"")</f>
        <v>367358.678342593</v>
      </c>
      <c r="E244" s="610">
        <f>IF($B$20:$B$499&lt;&gt;"",$K$7,"")</f>
        <v>24114.8980934895</v>
      </c>
      <c r="F244" s="610">
        <f>IF(AND($B$20:$B$499&lt;&gt;"",$E$20:$E$499+$E$12&lt;$D$20:$D$499),$E$12,IF(AND($B$20:$B$499&lt;&gt;"",$D$20:$D$499-$E$20:$E$499&gt;0),$D$20:$D$499-$E$20:$E$499,IF($B$20:$B$499&lt;&gt;"",0,"")))</f>
        <v>0</v>
      </c>
      <c r="G244" s="610">
        <f>IF(AND($B$20:$B$499&lt;&gt;"",$E$20:$E$499+$F$20:$F$499&lt;$D$20:$D$499),$E$20:$E$499+$F$20:$F$499,IF($B$20:$B$499&lt;&gt;"",$D$20:$D$499,""))</f>
        <v>24114.8980934895</v>
      </c>
      <c r="H244" s="610">
        <f>IF($B$20:$B$499&lt;&gt;"",$G$20:$G$499-$I$20:$I$499,"")</f>
        <v>21971.9724698244</v>
      </c>
      <c r="I244" s="610">
        <f>IF($B$20:$B$499&lt;&gt;"",$D$20:$D$499*$E$8/$E$10,"")</f>
        <v>2142.925623665130</v>
      </c>
      <c r="J244" s="610">
        <f>IF(AND($B$20:$B$499&lt;&gt;"",$E$20:$E$499+$F$20:$F$499&lt;$D$20:$D$499),$D$20:$D$499-$H$20:$H$499,IF($B$20:$B$499&lt;&gt;"",0,""))</f>
        <v>345386.705872769</v>
      </c>
      <c r="K244" s="610">
        <f>SUM($I$20:$I244)</f>
        <v>2660838.77690796</v>
      </c>
      <c r="L244" s="6"/>
      <c r="M244" s="6"/>
      <c r="N244" s="6"/>
      <c r="O244" s="6"/>
      <c r="P244" s="6"/>
      <c r="Q244" s="6"/>
      <c r="R244" s="6"/>
      <c r="S244" s="6"/>
      <c r="T244" s="6"/>
      <c r="U244" s="7"/>
    </row>
    <row r="245" ht="13.75" customHeight="1">
      <c r="A245" s="5"/>
      <c r="B245" s="608">
        <v>226</v>
      </c>
      <c r="C245" s="609">
        <f>IF($B$20:$B$499&lt;&gt;"",DATE(YEAR($E$11),MONTH($E$11)+($B$20:$B$499)*12/$E$10,DAY($E$11)),"")</f>
        <v>52140</v>
      </c>
      <c r="D245" s="610">
        <f>IF($B$20:$B$499&lt;&gt;"",J244,"")</f>
        <v>345386.705872769</v>
      </c>
      <c r="E245" s="610">
        <f>IF($B$20:$B$499&lt;&gt;"",$K$7,"")</f>
        <v>24114.8980934895</v>
      </c>
      <c r="F245" s="610">
        <f>IF(AND($B$20:$B$499&lt;&gt;"",$E$20:$E$499+$E$12&lt;$D$20:$D$499),$E$12,IF(AND($B$20:$B$499&lt;&gt;"",$D$20:$D$499-$E$20:$E$499&gt;0),$D$20:$D$499-$E$20:$E$499,IF($B$20:$B$499&lt;&gt;"",0,"")))</f>
        <v>0</v>
      </c>
      <c r="G245" s="610">
        <f>IF(AND($B$20:$B$499&lt;&gt;"",$E$20:$E$499+$F$20:$F$499&lt;$D$20:$D$499),$E$20:$E$499+$F$20:$F$499,IF($B$20:$B$499&lt;&gt;"",$D$20:$D$499,""))</f>
        <v>24114.8980934895</v>
      </c>
      <c r="H245" s="610">
        <f>IF($B$20:$B$499&lt;&gt;"",$G$20:$G$499-$I$20:$I$499,"")</f>
        <v>22100.1423092317</v>
      </c>
      <c r="I245" s="610">
        <f>IF($B$20:$B$499&lt;&gt;"",$D$20:$D$499*$E$8/$E$10,"")</f>
        <v>2014.755784257820</v>
      </c>
      <c r="J245" s="610">
        <f>IF(AND($B$20:$B$499&lt;&gt;"",$E$20:$E$499+$F$20:$F$499&lt;$D$20:$D$499),$D$20:$D$499-$H$20:$H$499,IF($B$20:$B$499&lt;&gt;"",0,""))</f>
        <v>323286.563563537</v>
      </c>
      <c r="K245" s="610">
        <f>SUM($I$20:$I245)</f>
        <v>2662853.53269222</v>
      </c>
      <c r="L245" s="6"/>
      <c r="M245" s="6"/>
      <c r="N245" s="6"/>
      <c r="O245" s="6"/>
      <c r="P245" s="6"/>
      <c r="Q245" s="6"/>
      <c r="R245" s="6"/>
      <c r="S245" s="6"/>
      <c r="T245" s="6"/>
      <c r="U245" s="7"/>
    </row>
    <row r="246" ht="13.75" customHeight="1">
      <c r="A246" s="5"/>
      <c r="B246" s="608">
        <v>227</v>
      </c>
      <c r="C246" s="609">
        <f>IF($B$20:$B$499&lt;&gt;"",DATE(YEAR($E$11),MONTH($E$11)+($B$20:$B$499)*12/$E$10,DAY($E$11)),"")</f>
        <v>52171</v>
      </c>
      <c r="D246" s="610">
        <f>IF($B$20:$B$499&lt;&gt;"",J245,"")</f>
        <v>323286.563563537</v>
      </c>
      <c r="E246" s="610">
        <f>IF($B$20:$B$499&lt;&gt;"",$K$7,"")</f>
        <v>24114.8980934895</v>
      </c>
      <c r="F246" s="610">
        <f>IF(AND($B$20:$B$499&lt;&gt;"",$E$20:$E$499+$E$12&lt;$D$20:$D$499),$E$12,IF(AND($B$20:$B$499&lt;&gt;"",$D$20:$D$499-$E$20:$E$499&gt;0),$D$20:$D$499-$E$20:$E$499,IF($B$20:$B$499&lt;&gt;"",0,"")))</f>
        <v>0</v>
      </c>
      <c r="G246" s="610">
        <f>IF(AND($B$20:$B$499&lt;&gt;"",$E$20:$E$499+$F$20:$F$499&lt;$D$20:$D$499),$E$20:$E$499+$F$20:$F$499,IF($B$20:$B$499&lt;&gt;"",$D$20:$D$499,""))</f>
        <v>24114.8980934895</v>
      </c>
      <c r="H246" s="610">
        <f>IF($B$20:$B$499&lt;&gt;"",$G$20:$G$499-$I$20:$I$499,"")</f>
        <v>22229.0598060355</v>
      </c>
      <c r="I246" s="610">
        <f>IF($B$20:$B$499&lt;&gt;"",$D$20:$D$499*$E$8/$E$10,"")</f>
        <v>1885.838287453970</v>
      </c>
      <c r="J246" s="610">
        <f>IF(AND($B$20:$B$499&lt;&gt;"",$E$20:$E$499+$F$20:$F$499&lt;$D$20:$D$499),$D$20:$D$499-$H$20:$H$499,IF($B$20:$B$499&lt;&gt;"",0,""))</f>
        <v>301057.503757502</v>
      </c>
      <c r="K246" s="610">
        <f>SUM($I$20:$I246)</f>
        <v>2664739.37097967</v>
      </c>
      <c r="L246" s="6"/>
      <c r="M246" s="6"/>
      <c r="N246" s="6"/>
      <c r="O246" s="6"/>
      <c r="P246" s="6"/>
      <c r="Q246" s="6"/>
      <c r="R246" s="6"/>
      <c r="S246" s="6"/>
      <c r="T246" s="6"/>
      <c r="U246" s="7"/>
    </row>
    <row r="247" ht="13.75" customHeight="1">
      <c r="A247" s="5"/>
      <c r="B247" s="608">
        <v>228</v>
      </c>
      <c r="C247" s="609">
        <f>IF($B$20:$B$499&lt;&gt;"",DATE(YEAR($E$11),MONTH($E$11)+($B$20:$B$499)*12/$E$10,DAY($E$11)),"")</f>
        <v>52201</v>
      </c>
      <c r="D247" s="610">
        <f>IF($B$20:$B$499&lt;&gt;"",J246,"")</f>
        <v>301057.503757502</v>
      </c>
      <c r="E247" s="610">
        <f>IF($B$20:$B$499&lt;&gt;"",$K$7,"")</f>
        <v>24114.8980934895</v>
      </c>
      <c r="F247" s="610">
        <f>IF(AND($B$20:$B$499&lt;&gt;"",$E$20:$E$499+$E$12&lt;$D$20:$D$499),$E$12,IF(AND($B$20:$B$499&lt;&gt;"",$D$20:$D$499-$E$20:$E$499&gt;0),$D$20:$D$499-$E$20:$E$499,IF($B$20:$B$499&lt;&gt;"",0,"")))</f>
        <v>0</v>
      </c>
      <c r="G247" s="610">
        <f>IF(AND($B$20:$B$499&lt;&gt;"",$E$20:$E$499+$F$20:$F$499&lt;$D$20:$D$499),$E$20:$E$499+$F$20:$F$499,IF($B$20:$B$499&lt;&gt;"",$D$20:$D$499,""))</f>
        <v>24114.8980934895</v>
      </c>
      <c r="H247" s="610">
        <f>IF($B$20:$B$499&lt;&gt;"",$G$20:$G$499-$I$20:$I$499,"")</f>
        <v>22358.7293215707</v>
      </c>
      <c r="I247" s="610">
        <f>IF($B$20:$B$499&lt;&gt;"",$D$20:$D$499*$E$8/$E$10,"")</f>
        <v>1756.168771918760</v>
      </c>
      <c r="J247" s="610">
        <f>IF(AND($B$20:$B$499&lt;&gt;"",$E$20:$E$499+$F$20:$F$499&lt;$D$20:$D$499),$D$20:$D$499-$H$20:$H$499,IF($B$20:$B$499&lt;&gt;"",0,""))</f>
        <v>278698.774435931</v>
      </c>
      <c r="K247" s="610">
        <f>SUM($I$20:$I247)</f>
        <v>2666495.53975159</v>
      </c>
      <c r="L247" s="6"/>
      <c r="M247" s="6"/>
      <c r="N247" s="6"/>
      <c r="O247" s="6"/>
      <c r="P247" s="6"/>
      <c r="Q247" s="6"/>
      <c r="R247" s="6"/>
      <c r="S247" s="6"/>
      <c r="T247" s="6"/>
      <c r="U247" s="7"/>
    </row>
    <row r="248" ht="13.75" customHeight="1">
      <c r="A248" s="5"/>
      <c r="B248" s="608">
        <v>229</v>
      </c>
      <c r="C248" s="609">
        <f>IF($B$20:$B$499&lt;&gt;"",DATE(YEAR($E$11),MONTH($E$11)+($B$20:$B$499)*12/$E$10,DAY($E$11)),"")</f>
        <v>52232</v>
      </c>
      <c r="D248" s="610">
        <f>IF($B$20:$B$499&lt;&gt;"",J247,"")</f>
        <v>278698.774435931</v>
      </c>
      <c r="E248" s="610">
        <f>IF($B$20:$B$499&lt;&gt;"",$K$7,"")</f>
        <v>24114.8980934895</v>
      </c>
      <c r="F248" s="610">
        <f>IF(AND($B$20:$B$499&lt;&gt;"",$E$20:$E$499+$E$12&lt;$D$20:$D$499),$E$12,IF(AND($B$20:$B$499&lt;&gt;"",$D$20:$D$499-$E$20:$E$499&gt;0),$D$20:$D$499-$E$20:$E$499,IF($B$20:$B$499&lt;&gt;"",0,"")))</f>
        <v>0</v>
      </c>
      <c r="G248" s="610">
        <f>IF(AND($B$20:$B$499&lt;&gt;"",$E$20:$E$499+$F$20:$F$499&lt;$D$20:$D$499),$E$20:$E$499+$F$20:$F$499,IF($B$20:$B$499&lt;&gt;"",$D$20:$D$499,""))</f>
        <v>24114.8980934895</v>
      </c>
      <c r="H248" s="610">
        <f>IF($B$20:$B$499&lt;&gt;"",$G$20:$G$499-$I$20:$I$499,"")</f>
        <v>22489.1552426132</v>
      </c>
      <c r="I248" s="610">
        <f>IF($B$20:$B$499&lt;&gt;"",$D$20:$D$499*$E$8/$E$10,"")</f>
        <v>1625.742850876260</v>
      </c>
      <c r="J248" s="610">
        <f>IF(AND($B$20:$B$499&lt;&gt;"",$E$20:$E$499+$F$20:$F$499&lt;$D$20:$D$499),$D$20:$D$499-$H$20:$H$499,IF($B$20:$B$499&lt;&gt;"",0,""))</f>
        <v>256209.619193318</v>
      </c>
      <c r="K248" s="610">
        <f>SUM($I$20:$I248)</f>
        <v>2668121.28260246</v>
      </c>
      <c r="L248" s="6"/>
      <c r="M248" s="6"/>
      <c r="N248" s="6"/>
      <c r="O248" s="6"/>
      <c r="P248" s="6"/>
      <c r="Q248" s="6"/>
      <c r="R248" s="6"/>
      <c r="S248" s="6"/>
      <c r="T248" s="6"/>
      <c r="U248" s="7"/>
    </row>
    <row r="249" ht="13.75" customHeight="1">
      <c r="A249" s="5"/>
      <c r="B249" s="608">
        <v>230</v>
      </c>
      <c r="C249" s="609">
        <f>IF($B$20:$B$499&lt;&gt;"",DATE(YEAR($E$11),MONTH($E$11)+($B$20:$B$499)*12/$E$10,DAY($E$11)),"")</f>
        <v>52263</v>
      </c>
      <c r="D249" s="610">
        <f>IF($B$20:$B$499&lt;&gt;"",J248,"")</f>
        <v>256209.619193318</v>
      </c>
      <c r="E249" s="610">
        <f>IF($B$20:$B$499&lt;&gt;"",$K$7,"")</f>
        <v>24114.8980934895</v>
      </c>
      <c r="F249" s="610">
        <f>IF(AND($B$20:$B$499&lt;&gt;"",$E$20:$E$499+$E$12&lt;$D$20:$D$499),$E$12,IF(AND($B$20:$B$499&lt;&gt;"",$D$20:$D$499-$E$20:$E$499&gt;0),$D$20:$D$499-$E$20:$E$499,IF($B$20:$B$499&lt;&gt;"",0,"")))</f>
        <v>0</v>
      </c>
      <c r="G249" s="610">
        <f>IF(AND($B$20:$B$499&lt;&gt;"",$E$20:$E$499+$F$20:$F$499&lt;$D$20:$D$499),$E$20:$E$499+$F$20:$F$499,IF($B$20:$B$499&lt;&gt;"",$D$20:$D$499,""))</f>
        <v>24114.8980934895</v>
      </c>
      <c r="H249" s="610">
        <f>IF($B$20:$B$499&lt;&gt;"",$G$20:$G$499-$I$20:$I$499,"")</f>
        <v>22620.3419815285</v>
      </c>
      <c r="I249" s="610">
        <f>IF($B$20:$B$499&lt;&gt;"",$D$20:$D$499*$E$8/$E$10,"")</f>
        <v>1494.556111961020</v>
      </c>
      <c r="J249" s="610">
        <f>IF(AND($B$20:$B$499&lt;&gt;"",$E$20:$E$499+$F$20:$F$499&lt;$D$20:$D$499),$D$20:$D$499-$H$20:$H$499,IF($B$20:$B$499&lt;&gt;"",0,""))</f>
        <v>233589.27721179</v>
      </c>
      <c r="K249" s="610">
        <f>SUM($I$20:$I249)</f>
        <v>2669615.83871443</v>
      </c>
      <c r="L249" s="6"/>
      <c r="M249" s="6"/>
      <c r="N249" s="6"/>
      <c r="O249" s="6"/>
      <c r="P249" s="6"/>
      <c r="Q249" s="6"/>
      <c r="R249" s="6"/>
      <c r="S249" s="6"/>
      <c r="T249" s="6"/>
      <c r="U249" s="7"/>
    </row>
    <row r="250" ht="13.75" customHeight="1">
      <c r="A250" s="5"/>
      <c r="B250" s="608">
        <v>231</v>
      </c>
      <c r="C250" s="609">
        <f>IF($B$20:$B$499&lt;&gt;"",DATE(YEAR($E$11),MONTH($E$11)+($B$20:$B$499)*12/$E$10,DAY($E$11)),"")</f>
        <v>52291</v>
      </c>
      <c r="D250" s="610">
        <f>IF($B$20:$B$499&lt;&gt;"",J249,"")</f>
        <v>233589.27721179</v>
      </c>
      <c r="E250" s="610">
        <f>IF($B$20:$B$499&lt;&gt;"",$K$7,"")</f>
        <v>24114.8980934895</v>
      </c>
      <c r="F250" s="610">
        <f>IF(AND($B$20:$B$499&lt;&gt;"",$E$20:$E$499+$E$12&lt;$D$20:$D$499),$E$12,IF(AND($B$20:$B$499&lt;&gt;"",$D$20:$D$499-$E$20:$E$499&gt;0),$D$20:$D$499-$E$20:$E$499,IF($B$20:$B$499&lt;&gt;"",0,"")))</f>
        <v>0</v>
      </c>
      <c r="G250" s="610">
        <f>IF(AND($B$20:$B$499&lt;&gt;"",$E$20:$E$499+$F$20:$F$499&lt;$D$20:$D$499),$E$20:$E$499+$F$20:$F$499,IF($B$20:$B$499&lt;&gt;"",$D$20:$D$499,""))</f>
        <v>24114.8980934895</v>
      </c>
      <c r="H250" s="610">
        <f>IF($B$20:$B$499&lt;&gt;"",$G$20:$G$499-$I$20:$I$499,"")</f>
        <v>22752.2939764207</v>
      </c>
      <c r="I250" s="610">
        <f>IF($B$20:$B$499&lt;&gt;"",$D$20:$D$499*$E$8/$E$10,"")</f>
        <v>1362.604117068780</v>
      </c>
      <c r="J250" s="610">
        <f>IF(AND($B$20:$B$499&lt;&gt;"",$E$20:$E$499+$F$20:$F$499&lt;$D$20:$D$499),$D$20:$D$499-$H$20:$H$499,IF($B$20:$B$499&lt;&gt;"",0,""))</f>
        <v>210836.983235369</v>
      </c>
      <c r="K250" s="610">
        <f>SUM($I$20:$I250)</f>
        <v>2670978.44283149</v>
      </c>
      <c r="L250" s="6"/>
      <c r="M250" s="6"/>
      <c r="N250" s="6"/>
      <c r="O250" s="6"/>
      <c r="P250" s="6"/>
      <c r="Q250" s="6"/>
      <c r="R250" s="6"/>
      <c r="S250" s="6"/>
      <c r="T250" s="6"/>
      <c r="U250" s="7"/>
    </row>
    <row r="251" ht="13.75" customHeight="1">
      <c r="A251" s="5"/>
      <c r="B251" s="608">
        <v>232</v>
      </c>
      <c r="C251" s="609">
        <f>IF($B$20:$B$499&lt;&gt;"",DATE(YEAR($E$11),MONTH($E$11)+($B$20:$B$499)*12/$E$10,DAY($E$11)),"")</f>
        <v>52322</v>
      </c>
      <c r="D251" s="610">
        <f>IF($B$20:$B$499&lt;&gt;"",J250,"")</f>
        <v>210836.983235369</v>
      </c>
      <c r="E251" s="610">
        <f>IF($B$20:$B$499&lt;&gt;"",$K$7,"")</f>
        <v>24114.8980934895</v>
      </c>
      <c r="F251" s="610">
        <f>IF(AND($B$20:$B$499&lt;&gt;"",$E$20:$E$499+$E$12&lt;$D$20:$D$499),$E$12,IF(AND($B$20:$B$499&lt;&gt;"",$D$20:$D$499-$E$20:$E$499&gt;0),$D$20:$D$499-$E$20:$E$499,IF($B$20:$B$499&lt;&gt;"",0,"")))</f>
        <v>0</v>
      </c>
      <c r="G251" s="610">
        <f>IF(AND($B$20:$B$499&lt;&gt;"",$E$20:$E$499+$F$20:$F$499&lt;$D$20:$D$499),$E$20:$E$499+$F$20:$F$499,IF($B$20:$B$499&lt;&gt;"",$D$20:$D$499,""))</f>
        <v>24114.8980934895</v>
      </c>
      <c r="H251" s="610">
        <f>IF($B$20:$B$499&lt;&gt;"",$G$20:$G$499-$I$20:$I$499,"")</f>
        <v>22885.0156912832</v>
      </c>
      <c r="I251" s="610">
        <f>IF($B$20:$B$499&lt;&gt;"",$D$20:$D$499*$E$8/$E$10,"")</f>
        <v>1229.882402206320</v>
      </c>
      <c r="J251" s="610">
        <f>IF(AND($B$20:$B$499&lt;&gt;"",$E$20:$E$499+$F$20:$F$499&lt;$D$20:$D$499),$D$20:$D$499-$H$20:$H$499,IF($B$20:$B$499&lt;&gt;"",0,""))</f>
        <v>187951.967544086</v>
      </c>
      <c r="K251" s="610">
        <f>SUM($I$20:$I251)</f>
        <v>2672208.3252337</v>
      </c>
      <c r="L251" s="6"/>
      <c r="M251" s="6"/>
      <c r="N251" s="6"/>
      <c r="O251" s="6"/>
      <c r="P251" s="6"/>
      <c r="Q251" s="6"/>
      <c r="R251" s="6"/>
      <c r="S251" s="6"/>
      <c r="T251" s="6"/>
      <c r="U251" s="7"/>
    </row>
    <row r="252" ht="13.75" customHeight="1">
      <c r="A252" s="5"/>
      <c r="B252" s="608">
        <v>233</v>
      </c>
      <c r="C252" s="609">
        <f>IF($B$20:$B$499&lt;&gt;"",DATE(YEAR($E$11),MONTH($E$11)+($B$20:$B$499)*12/$E$10,DAY($E$11)),"")</f>
        <v>52352</v>
      </c>
      <c r="D252" s="610">
        <f>IF($B$20:$B$499&lt;&gt;"",J251,"")</f>
        <v>187951.967544086</v>
      </c>
      <c r="E252" s="610">
        <f>IF($B$20:$B$499&lt;&gt;"",$K$7,"")</f>
        <v>24114.8980934895</v>
      </c>
      <c r="F252" s="610">
        <f>IF(AND($B$20:$B$499&lt;&gt;"",$E$20:$E$499+$E$12&lt;$D$20:$D$499),$E$12,IF(AND($B$20:$B$499&lt;&gt;"",$D$20:$D$499-$E$20:$E$499&gt;0),$D$20:$D$499-$E$20:$E$499,IF($B$20:$B$499&lt;&gt;"",0,"")))</f>
        <v>0</v>
      </c>
      <c r="G252" s="610">
        <f>IF(AND($B$20:$B$499&lt;&gt;"",$E$20:$E$499+$F$20:$F$499&lt;$D$20:$D$499),$E$20:$E$499+$F$20:$F$499,IF($B$20:$B$499&lt;&gt;"",$D$20:$D$499,""))</f>
        <v>24114.8980934895</v>
      </c>
      <c r="H252" s="610">
        <f>IF($B$20:$B$499&lt;&gt;"",$G$20:$G$499-$I$20:$I$499,"")</f>
        <v>23018.511616149</v>
      </c>
      <c r="I252" s="610">
        <f>IF($B$20:$B$499&lt;&gt;"",$D$20:$D$499*$E$8/$E$10,"")</f>
        <v>1096.3864773405</v>
      </c>
      <c r="J252" s="610">
        <f>IF(AND($B$20:$B$499&lt;&gt;"",$E$20:$E$499+$F$20:$F$499&lt;$D$20:$D$499),$D$20:$D$499-$H$20:$H$499,IF($B$20:$B$499&lt;&gt;"",0,""))</f>
        <v>164933.455927937</v>
      </c>
      <c r="K252" s="610">
        <f>SUM($I$20:$I252)</f>
        <v>2673304.71171104</v>
      </c>
      <c r="L252" s="6"/>
      <c r="M252" s="6"/>
      <c r="N252" s="6"/>
      <c r="O252" s="6"/>
      <c r="P252" s="6"/>
      <c r="Q252" s="6"/>
      <c r="R252" s="6"/>
      <c r="S252" s="6"/>
      <c r="T252" s="6"/>
      <c r="U252" s="7"/>
    </row>
    <row r="253" ht="13.75" customHeight="1">
      <c r="A253" s="5"/>
      <c r="B253" s="608">
        <v>234</v>
      </c>
      <c r="C253" s="609">
        <f>IF($B$20:$B$499&lt;&gt;"",DATE(YEAR($E$11),MONTH($E$11)+($B$20:$B$499)*12/$E$10,DAY($E$11)),"")</f>
        <v>52383</v>
      </c>
      <c r="D253" s="610">
        <f>IF($B$20:$B$499&lt;&gt;"",J252,"")</f>
        <v>164933.455927937</v>
      </c>
      <c r="E253" s="610">
        <f>IF($B$20:$B$499&lt;&gt;"",$K$7,"")</f>
        <v>24114.8980934895</v>
      </c>
      <c r="F253" s="610">
        <f>IF(AND($B$20:$B$499&lt;&gt;"",$E$20:$E$499+$E$12&lt;$D$20:$D$499),$E$12,IF(AND($B$20:$B$499&lt;&gt;"",$D$20:$D$499-$E$20:$E$499&gt;0),$D$20:$D$499-$E$20:$E$499,IF($B$20:$B$499&lt;&gt;"",0,"")))</f>
        <v>0</v>
      </c>
      <c r="G253" s="610">
        <f>IF(AND($B$20:$B$499&lt;&gt;"",$E$20:$E$499+$F$20:$F$499&lt;$D$20:$D$499),$E$20:$E$499+$F$20:$F$499,IF($B$20:$B$499&lt;&gt;"",$D$20:$D$499,""))</f>
        <v>24114.8980934895</v>
      </c>
      <c r="H253" s="610">
        <f>IF($B$20:$B$499&lt;&gt;"",$G$20:$G$499-$I$20:$I$499,"")</f>
        <v>23152.7862672432</v>
      </c>
      <c r="I253" s="610">
        <f>IF($B$20:$B$499&lt;&gt;"",$D$20:$D$499*$E$8/$E$10,"")</f>
        <v>962.111826246299</v>
      </c>
      <c r="J253" s="610">
        <f>IF(AND($B$20:$B$499&lt;&gt;"",$E$20:$E$499+$F$20:$F$499&lt;$D$20:$D$499),$D$20:$D$499-$H$20:$H$499,IF($B$20:$B$499&lt;&gt;"",0,""))</f>
        <v>141780.669660694</v>
      </c>
      <c r="K253" s="610">
        <f>SUM($I$20:$I253)</f>
        <v>2674266.82353729</v>
      </c>
      <c r="L253" s="6"/>
      <c r="M253" s="6"/>
      <c r="N253" s="6"/>
      <c r="O253" s="6"/>
      <c r="P253" s="6"/>
      <c r="Q253" s="6"/>
      <c r="R253" s="6"/>
      <c r="S253" s="6"/>
      <c r="T253" s="6"/>
      <c r="U253" s="7"/>
    </row>
    <row r="254" ht="13.75" customHeight="1">
      <c r="A254" s="5"/>
      <c r="B254" s="608">
        <v>235</v>
      </c>
      <c r="C254" s="609">
        <f>IF($B$20:$B$499&lt;&gt;"",DATE(YEAR($E$11),MONTH($E$11)+($B$20:$B$499)*12/$E$10,DAY($E$11)),"")</f>
        <v>52413</v>
      </c>
      <c r="D254" s="610">
        <f>IF($B$20:$B$499&lt;&gt;"",J253,"")</f>
        <v>141780.669660694</v>
      </c>
      <c r="E254" s="610">
        <f>IF($B$20:$B$499&lt;&gt;"",$K$7,"")</f>
        <v>24114.8980934895</v>
      </c>
      <c r="F254" s="610">
        <f>IF(AND($B$20:$B$499&lt;&gt;"",$E$20:$E$499+$E$12&lt;$D$20:$D$499),$E$12,IF(AND($B$20:$B$499&lt;&gt;"",$D$20:$D$499-$E$20:$E$499&gt;0),$D$20:$D$499-$E$20:$E$499,IF($B$20:$B$499&lt;&gt;"",0,"")))</f>
        <v>0</v>
      </c>
      <c r="G254" s="610">
        <f>IF(AND($B$20:$B$499&lt;&gt;"",$E$20:$E$499+$F$20:$F$499&lt;$D$20:$D$499),$E$20:$E$499+$F$20:$F$499,IF($B$20:$B$499&lt;&gt;"",$D$20:$D$499,""))</f>
        <v>24114.8980934895</v>
      </c>
      <c r="H254" s="610">
        <f>IF($B$20:$B$499&lt;&gt;"",$G$20:$G$499-$I$20:$I$499,"")</f>
        <v>23287.8441871355</v>
      </c>
      <c r="I254" s="610">
        <f>IF($B$20:$B$499&lt;&gt;"",$D$20:$D$499*$E$8/$E$10,"")</f>
        <v>827.053906354048</v>
      </c>
      <c r="J254" s="610">
        <f>IF(AND($B$20:$B$499&lt;&gt;"",$E$20:$E$499+$F$20:$F$499&lt;$D$20:$D$499),$D$20:$D$499-$H$20:$H$499,IF($B$20:$B$499&lt;&gt;"",0,""))</f>
        <v>118492.825473559</v>
      </c>
      <c r="K254" s="610">
        <f>SUM($I$20:$I254)</f>
        <v>2675093.87744364</v>
      </c>
      <c r="L254" s="6"/>
      <c r="M254" s="6"/>
      <c r="N254" s="6"/>
      <c r="O254" s="6"/>
      <c r="P254" s="6"/>
      <c r="Q254" s="6"/>
      <c r="R254" s="6"/>
      <c r="S254" s="6"/>
      <c r="T254" s="6"/>
      <c r="U254" s="7"/>
    </row>
    <row r="255" ht="13.75" customHeight="1">
      <c r="A255" s="5"/>
      <c r="B255" s="608">
        <v>236</v>
      </c>
      <c r="C255" s="609">
        <f>IF($B$20:$B$499&lt;&gt;"",DATE(YEAR($E$11),MONTH($E$11)+($B$20:$B$499)*12/$E$10,DAY($E$11)),"")</f>
        <v>52444</v>
      </c>
      <c r="D255" s="610">
        <f>IF($B$20:$B$499&lt;&gt;"",J254,"")</f>
        <v>118492.825473559</v>
      </c>
      <c r="E255" s="610">
        <f>IF($B$20:$B$499&lt;&gt;"",$K$7,"")</f>
        <v>24114.8980934895</v>
      </c>
      <c r="F255" s="610">
        <f>IF(AND($B$20:$B$499&lt;&gt;"",$E$20:$E$499+$E$12&lt;$D$20:$D$499),$E$12,IF(AND($B$20:$B$499&lt;&gt;"",$D$20:$D$499-$E$20:$E$499&gt;0),$D$20:$D$499-$E$20:$E$499,IF($B$20:$B$499&lt;&gt;"",0,"")))</f>
        <v>0</v>
      </c>
      <c r="G255" s="610">
        <f>IF(AND($B$20:$B$499&lt;&gt;"",$E$20:$E$499+$F$20:$F$499&lt;$D$20:$D$499),$E$20:$E$499+$F$20:$F$499,IF($B$20:$B$499&lt;&gt;"",$D$20:$D$499,""))</f>
        <v>24114.8980934895</v>
      </c>
      <c r="H255" s="610">
        <f>IF($B$20:$B$499&lt;&gt;"",$G$20:$G$499-$I$20:$I$499,"")</f>
        <v>23423.6899448937</v>
      </c>
      <c r="I255" s="610">
        <f>IF($B$20:$B$499&lt;&gt;"",$D$20:$D$499*$E$8/$E$10,"")</f>
        <v>691.208148595761</v>
      </c>
      <c r="J255" s="610">
        <f>IF(AND($B$20:$B$499&lt;&gt;"",$E$20:$E$499+$F$20:$F$499&lt;$D$20:$D$499),$D$20:$D$499-$H$20:$H$499,IF($B$20:$B$499&lt;&gt;"",0,""))</f>
        <v>95069.1355286653</v>
      </c>
      <c r="K255" s="610">
        <f>SUM($I$20:$I255)</f>
        <v>2675785.08559224</v>
      </c>
      <c r="L255" s="6"/>
      <c r="M255" s="6"/>
      <c r="N255" s="6"/>
      <c r="O255" s="6"/>
      <c r="P255" s="6"/>
      <c r="Q255" s="6"/>
      <c r="R255" s="6"/>
      <c r="S255" s="6"/>
      <c r="T255" s="6"/>
      <c r="U255" s="7"/>
    </row>
    <row r="256" ht="13.75" customHeight="1">
      <c r="A256" s="5"/>
      <c r="B256" s="608">
        <v>237</v>
      </c>
      <c r="C256" s="609">
        <f>IF($B$20:$B$499&lt;&gt;"",DATE(YEAR($E$11),MONTH($E$11)+($B$20:$B$499)*12/$E$10,DAY($E$11)),"")</f>
        <v>52475</v>
      </c>
      <c r="D256" s="610">
        <f>IF($B$20:$B$499&lt;&gt;"",J255,"")</f>
        <v>95069.1355286653</v>
      </c>
      <c r="E256" s="610">
        <f>IF($B$20:$B$499&lt;&gt;"",$K$7,"")</f>
        <v>24114.8980934895</v>
      </c>
      <c r="F256" s="610">
        <f>IF(AND($B$20:$B$499&lt;&gt;"",$E$20:$E$499+$E$12&lt;$D$20:$D$499),$E$12,IF(AND($B$20:$B$499&lt;&gt;"",$D$20:$D$499-$E$20:$E$499&gt;0),$D$20:$D$499-$E$20:$E$499,IF($B$20:$B$499&lt;&gt;"",0,"")))</f>
        <v>0</v>
      </c>
      <c r="G256" s="610">
        <f>IF(AND($B$20:$B$499&lt;&gt;"",$E$20:$E$499+$F$20:$F$499&lt;$D$20:$D$499),$E$20:$E$499+$F$20:$F$499,IF($B$20:$B$499&lt;&gt;"",$D$20:$D$499,""))</f>
        <v>24114.8980934895</v>
      </c>
      <c r="H256" s="610">
        <f>IF($B$20:$B$499&lt;&gt;"",$G$20:$G$499-$I$20:$I$499,"")</f>
        <v>23560.328136239</v>
      </c>
      <c r="I256" s="610">
        <f>IF($B$20:$B$499&lt;&gt;"",$D$20:$D$499*$E$8/$E$10,"")</f>
        <v>554.569957250548</v>
      </c>
      <c r="J256" s="610">
        <f>IF(AND($B$20:$B$499&lt;&gt;"",$E$20:$E$499+$F$20:$F$499&lt;$D$20:$D$499),$D$20:$D$499-$H$20:$H$499,IF($B$20:$B$499&lt;&gt;"",0,""))</f>
        <v>71508.8073924263</v>
      </c>
      <c r="K256" s="610">
        <f>SUM($I$20:$I256)</f>
        <v>2676339.65554949</v>
      </c>
      <c r="L256" s="6"/>
      <c r="M256" s="6"/>
      <c r="N256" s="6"/>
      <c r="O256" s="6"/>
      <c r="P256" s="6"/>
      <c r="Q256" s="6"/>
      <c r="R256" s="6"/>
      <c r="S256" s="6"/>
      <c r="T256" s="6"/>
      <c r="U256" s="7"/>
    </row>
    <row r="257" ht="13.75" customHeight="1">
      <c r="A257" s="5"/>
      <c r="B257" s="608">
        <v>238</v>
      </c>
      <c r="C257" s="609">
        <f>IF($B$20:$B$499&lt;&gt;"",DATE(YEAR($E$11),MONTH($E$11)+($B$20:$B$499)*12/$E$10,DAY($E$11)),"")</f>
        <v>52505</v>
      </c>
      <c r="D257" s="610">
        <f>IF($B$20:$B$499&lt;&gt;"",J256,"")</f>
        <v>71508.8073924263</v>
      </c>
      <c r="E257" s="610">
        <f>IF($B$20:$B$499&lt;&gt;"",$K$7,"")</f>
        <v>24114.8980934895</v>
      </c>
      <c r="F257" s="610">
        <f>IF(AND($B$20:$B$499&lt;&gt;"",$E$20:$E$499+$E$12&lt;$D$20:$D$499),$E$12,IF(AND($B$20:$B$499&lt;&gt;"",$D$20:$D$499-$E$20:$E$499&gt;0),$D$20:$D$499-$E$20:$E$499,IF($B$20:$B$499&lt;&gt;"",0,"")))</f>
        <v>0</v>
      </c>
      <c r="G257" s="610">
        <f>IF(AND($B$20:$B$499&lt;&gt;"",$E$20:$E$499+$F$20:$F$499&lt;$D$20:$D$499),$E$20:$E$499+$F$20:$F$499,IF($B$20:$B$499&lt;&gt;"",$D$20:$D$499,""))</f>
        <v>24114.8980934895</v>
      </c>
      <c r="H257" s="610">
        <f>IF($B$20:$B$499&lt;&gt;"",$G$20:$G$499-$I$20:$I$499,"")</f>
        <v>23697.7633837003</v>
      </c>
      <c r="I257" s="610">
        <f>IF($B$20:$B$499&lt;&gt;"",$D$20:$D$499*$E$8/$E$10,"")</f>
        <v>417.134709789153</v>
      </c>
      <c r="J257" s="610">
        <f>IF(AND($B$20:$B$499&lt;&gt;"",$E$20:$E$499+$F$20:$F$499&lt;$D$20:$D$499),$D$20:$D$499-$H$20:$H$499,IF($B$20:$B$499&lt;&gt;"",0,""))</f>
        <v>47811.044008726</v>
      </c>
      <c r="K257" s="610">
        <f>SUM($I$20:$I257)</f>
        <v>2676756.79025928</v>
      </c>
      <c r="L257" s="6"/>
      <c r="M257" s="6"/>
      <c r="N257" s="6"/>
      <c r="O257" s="6"/>
      <c r="P257" s="6"/>
      <c r="Q257" s="6"/>
      <c r="R257" s="6"/>
      <c r="S257" s="6"/>
      <c r="T257" s="6"/>
      <c r="U257" s="7"/>
    </row>
    <row r="258" ht="13.75" customHeight="1">
      <c r="A258" s="5"/>
      <c r="B258" s="608">
        <v>239</v>
      </c>
      <c r="C258" s="609">
        <f>IF($B$20:$B$499&lt;&gt;"",DATE(YEAR($E$11),MONTH($E$11)+($B$20:$B$499)*12/$E$10,DAY($E$11)),"")</f>
        <v>52536</v>
      </c>
      <c r="D258" s="610">
        <f>IF($B$20:$B$499&lt;&gt;"",J257,"")</f>
        <v>47811.044008726</v>
      </c>
      <c r="E258" s="610">
        <f>IF($B$20:$B$499&lt;&gt;"",$K$7,"")</f>
        <v>24114.8980934895</v>
      </c>
      <c r="F258" s="610">
        <f>IF(AND($B$20:$B$499&lt;&gt;"",$E$20:$E$499+$E$12&lt;$D$20:$D$499),$E$12,IF(AND($B$20:$B$499&lt;&gt;"",$D$20:$D$499-$E$20:$E$499&gt;0),$D$20:$D$499-$E$20:$E$499,IF($B$20:$B$499&lt;&gt;"",0,"")))</f>
        <v>0</v>
      </c>
      <c r="G258" s="610">
        <f>IF(AND($B$20:$B$499&lt;&gt;"",$E$20:$E$499+$F$20:$F$499&lt;$D$20:$D$499),$E$20:$E$499+$F$20:$F$499,IF($B$20:$B$499&lt;&gt;"",$D$20:$D$499,""))</f>
        <v>24114.8980934895</v>
      </c>
      <c r="H258" s="610">
        <f>IF($B$20:$B$499&lt;&gt;"",$G$20:$G$499-$I$20:$I$499,"")</f>
        <v>23836.0003367719</v>
      </c>
      <c r="I258" s="610">
        <f>IF($B$20:$B$499&lt;&gt;"",$D$20:$D$499*$E$8/$E$10,"")</f>
        <v>278.897756717568</v>
      </c>
      <c r="J258" s="610">
        <f>IF(AND($B$20:$B$499&lt;&gt;"",$E$20:$E$499+$F$20:$F$499&lt;$D$20:$D$499),$D$20:$D$499-$H$20:$H$499,IF($B$20:$B$499&lt;&gt;"",0,""))</f>
        <v>23975.0436719541</v>
      </c>
      <c r="K258" s="610">
        <f>SUM($I$20:$I258)</f>
        <v>2677035.68801599</v>
      </c>
      <c r="L258" s="6"/>
      <c r="M258" s="6"/>
      <c r="N258" s="6"/>
      <c r="O258" s="6"/>
      <c r="P258" s="6"/>
      <c r="Q258" s="6"/>
      <c r="R258" s="6"/>
      <c r="S258" s="6"/>
      <c r="T258" s="6"/>
      <c r="U258" s="7"/>
    </row>
    <row r="259" ht="13.75" customHeight="1">
      <c r="A259" s="5"/>
      <c r="B259" s="608">
        <v>240</v>
      </c>
      <c r="C259" s="609">
        <f>IF($B$20:$B$499&lt;&gt;"",DATE(YEAR($E$11),MONTH($E$11)+($B$20:$B$499)*12/$E$10,DAY($E$11)),"")</f>
        <v>52566</v>
      </c>
      <c r="D259" s="610">
        <f>IF($B$20:$B$499&lt;&gt;"",J258,"")</f>
        <v>23975.0436719541</v>
      </c>
      <c r="E259" s="610">
        <f>IF($B$20:$B$499&lt;&gt;"",$K$7,"")</f>
        <v>24114.8980934895</v>
      </c>
      <c r="F259" s="610">
        <f>IF(AND($B$20:$B$499&lt;&gt;"",$E$20:$E$499+$E$12&lt;$D$20:$D$499),$E$12,IF(AND($B$20:$B$499&lt;&gt;"",$D$20:$D$499-$E$20:$E$499&gt;0),$D$20:$D$499-$E$20:$E$499,IF($B$20:$B$499&lt;&gt;"",0,"")))</f>
        <v>0</v>
      </c>
      <c r="G259" s="610">
        <f>IF(AND($B$20:$B$499&lt;&gt;"",$E$20:$E$499+$F$20:$F$499&lt;$D$20:$D$499),$E$20:$E$499+$F$20:$F$499,IF($B$20:$B$499&lt;&gt;"",$D$20:$D$499,""))</f>
        <v>23975.0436719541</v>
      </c>
      <c r="H259" s="610">
        <f>IF($B$20:$B$499&lt;&gt;"",$G$20:$G$499-$I$20:$I$499,"")</f>
        <v>23835.1892505344</v>
      </c>
      <c r="I259" s="610">
        <f>IF($B$20:$B$499&lt;&gt;"",$D$20:$D$499*$E$8/$E$10,"")</f>
        <v>139.854421419732</v>
      </c>
      <c r="J259" s="610">
        <f>IF(AND($B$20:$B$499&lt;&gt;"",$E$20:$E$499+$F$20:$F$499&lt;$D$20:$D$499),$D$20:$D$499-$H$20:$H$499,IF($B$20:$B$499&lt;&gt;"",0,""))</f>
        <v>0</v>
      </c>
      <c r="K259" s="610">
        <f>SUM($I$20:$I259)</f>
        <v>2677175.54243741</v>
      </c>
      <c r="L259" s="6"/>
      <c r="M259" s="6"/>
      <c r="N259" s="6"/>
      <c r="O259" s="6"/>
      <c r="P259" s="6"/>
      <c r="Q259" s="6"/>
      <c r="R259" s="6"/>
      <c r="S259" s="6"/>
      <c r="T259" s="6"/>
      <c r="U259" s="7"/>
    </row>
    <row r="260" ht="13.75" customHeight="1">
      <c r="A260" s="5"/>
      <c r="B260" s="613"/>
      <c r="C260" s="609"/>
      <c r="D260" s="610"/>
      <c r="E260" s="610"/>
      <c r="F260" s="610"/>
      <c r="G260" s="610"/>
      <c r="H260" s="610"/>
      <c r="I260" s="610"/>
      <c r="J260" s="610"/>
      <c r="K260" s="610"/>
      <c r="L260" s="6"/>
      <c r="M260" s="6"/>
      <c r="N260" s="6"/>
      <c r="O260" s="6"/>
      <c r="P260" s="6"/>
      <c r="Q260" s="6"/>
      <c r="R260" s="6"/>
      <c r="S260" s="6"/>
      <c r="T260" s="6"/>
      <c r="U260" s="7"/>
    </row>
    <row r="261" ht="13.75" customHeight="1">
      <c r="A261" s="5"/>
      <c r="B261" s="613"/>
      <c r="C261" s="609"/>
      <c r="D261" s="610"/>
      <c r="E261" s="610"/>
      <c r="F261" s="610"/>
      <c r="G261" s="610"/>
      <c r="H261" s="610"/>
      <c r="I261" s="610"/>
      <c r="J261" s="610"/>
      <c r="K261" s="610"/>
      <c r="L261" s="6"/>
      <c r="M261" s="6"/>
      <c r="N261" s="6"/>
      <c r="O261" s="6"/>
      <c r="P261" s="6"/>
      <c r="Q261" s="6"/>
      <c r="R261" s="6"/>
      <c r="S261" s="6"/>
      <c r="T261" s="6"/>
      <c r="U261" s="7"/>
    </row>
    <row r="262" ht="13.75" customHeight="1">
      <c r="A262" s="5"/>
      <c r="B262" s="613"/>
      <c r="C262" s="609"/>
      <c r="D262" s="610"/>
      <c r="E262" s="610"/>
      <c r="F262" s="610"/>
      <c r="G262" s="610"/>
      <c r="H262" s="610"/>
      <c r="I262" s="610"/>
      <c r="J262" s="610"/>
      <c r="K262" s="610"/>
      <c r="L262" s="6"/>
      <c r="M262" s="6"/>
      <c r="N262" s="6"/>
      <c r="O262" s="6"/>
      <c r="P262" s="6"/>
      <c r="Q262" s="6"/>
      <c r="R262" s="6"/>
      <c r="S262" s="6"/>
      <c r="T262" s="6"/>
      <c r="U262" s="7"/>
    </row>
    <row r="263" ht="13.75" customHeight="1">
      <c r="A263" s="5"/>
      <c r="B263" s="613"/>
      <c r="C263" s="609"/>
      <c r="D263" s="610"/>
      <c r="E263" s="610"/>
      <c r="F263" s="610"/>
      <c r="G263" s="610"/>
      <c r="H263" s="610"/>
      <c r="I263" s="610"/>
      <c r="J263" s="610"/>
      <c r="K263" s="610"/>
      <c r="L263" s="6"/>
      <c r="M263" s="6"/>
      <c r="N263" s="6"/>
      <c r="O263" s="6"/>
      <c r="P263" s="6"/>
      <c r="Q263" s="6"/>
      <c r="R263" s="6"/>
      <c r="S263" s="6"/>
      <c r="T263" s="6"/>
      <c r="U263" s="7"/>
    </row>
    <row r="264" ht="13.75" customHeight="1">
      <c r="A264" s="5"/>
      <c r="B264" s="613"/>
      <c r="C264" s="609"/>
      <c r="D264" s="610"/>
      <c r="E264" s="610"/>
      <c r="F264" s="610"/>
      <c r="G264" s="610"/>
      <c r="H264" s="610"/>
      <c r="I264" s="610"/>
      <c r="J264" s="610"/>
      <c r="K264" s="610"/>
      <c r="L264" s="6"/>
      <c r="M264" s="6"/>
      <c r="N264" s="6"/>
      <c r="O264" s="6"/>
      <c r="P264" s="6"/>
      <c r="Q264" s="6"/>
      <c r="R264" s="6"/>
      <c r="S264" s="6"/>
      <c r="T264" s="6"/>
      <c r="U264" s="7"/>
    </row>
    <row r="265" ht="13.75" customHeight="1">
      <c r="A265" s="5"/>
      <c r="B265" s="613"/>
      <c r="C265" s="609"/>
      <c r="D265" s="610"/>
      <c r="E265" s="610"/>
      <c r="F265" s="610"/>
      <c r="G265" s="610"/>
      <c r="H265" s="610"/>
      <c r="I265" s="610"/>
      <c r="J265" s="610"/>
      <c r="K265" s="610"/>
      <c r="L265" s="6"/>
      <c r="M265" s="6"/>
      <c r="N265" s="6"/>
      <c r="O265" s="6"/>
      <c r="P265" s="6"/>
      <c r="Q265" s="6"/>
      <c r="R265" s="6"/>
      <c r="S265" s="6"/>
      <c r="T265" s="6"/>
      <c r="U265" s="7"/>
    </row>
    <row r="266" ht="13.75" customHeight="1">
      <c r="A266" s="5"/>
      <c r="B266" s="613"/>
      <c r="C266" s="609"/>
      <c r="D266" s="610"/>
      <c r="E266" s="610"/>
      <c r="F266" s="610"/>
      <c r="G266" s="610"/>
      <c r="H266" s="610"/>
      <c r="I266" s="610"/>
      <c r="J266" s="610"/>
      <c r="K266" s="610"/>
      <c r="L266" s="6"/>
      <c r="M266" s="6"/>
      <c r="N266" s="6"/>
      <c r="O266" s="6"/>
      <c r="P266" s="6"/>
      <c r="Q266" s="6"/>
      <c r="R266" s="6"/>
      <c r="S266" s="6"/>
      <c r="T266" s="6"/>
      <c r="U266" s="7"/>
    </row>
    <row r="267" ht="13.75" customHeight="1">
      <c r="A267" s="5"/>
      <c r="B267" s="613"/>
      <c r="C267" s="609"/>
      <c r="D267" s="610"/>
      <c r="E267" s="610"/>
      <c r="F267" s="610"/>
      <c r="G267" s="610"/>
      <c r="H267" s="610"/>
      <c r="I267" s="610"/>
      <c r="J267" s="610"/>
      <c r="K267" s="610"/>
      <c r="L267" s="6"/>
      <c r="M267" s="6"/>
      <c r="N267" s="6"/>
      <c r="O267" s="6"/>
      <c r="P267" s="6"/>
      <c r="Q267" s="6"/>
      <c r="R267" s="6"/>
      <c r="S267" s="6"/>
      <c r="T267" s="6"/>
      <c r="U267" s="7"/>
    </row>
    <row r="268" ht="13.75" customHeight="1">
      <c r="A268" s="5"/>
      <c r="B268" s="613"/>
      <c r="C268" s="609"/>
      <c r="D268" s="610"/>
      <c r="E268" s="610"/>
      <c r="F268" s="610"/>
      <c r="G268" s="610"/>
      <c r="H268" s="610"/>
      <c r="I268" s="610"/>
      <c r="J268" s="610"/>
      <c r="K268" s="610"/>
      <c r="L268" s="6"/>
      <c r="M268" s="6"/>
      <c r="N268" s="6"/>
      <c r="O268" s="6"/>
      <c r="P268" s="6"/>
      <c r="Q268" s="6"/>
      <c r="R268" s="6"/>
      <c r="S268" s="6"/>
      <c r="T268" s="6"/>
      <c r="U268" s="7"/>
    </row>
    <row r="269" ht="13.75" customHeight="1">
      <c r="A269" s="5"/>
      <c r="B269" s="613"/>
      <c r="C269" s="609"/>
      <c r="D269" s="610"/>
      <c r="E269" s="610"/>
      <c r="F269" s="610"/>
      <c r="G269" s="610"/>
      <c r="H269" s="610"/>
      <c r="I269" s="610"/>
      <c r="J269" s="610"/>
      <c r="K269" s="610"/>
      <c r="L269" s="6"/>
      <c r="M269" s="6"/>
      <c r="N269" s="6"/>
      <c r="O269" s="6"/>
      <c r="P269" s="6"/>
      <c r="Q269" s="6"/>
      <c r="R269" s="6"/>
      <c r="S269" s="6"/>
      <c r="T269" s="6"/>
      <c r="U269" s="7"/>
    </row>
    <row r="270" ht="13.75" customHeight="1">
      <c r="A270" s="5"/>
      <c r="B270" s="613"/>
      <c r="C270" s="609"/>
      <c r="D270" s="610"/>
      <c r="E270" s="610"/>
      <c r="F270" s="610"/>
      <c r="G270" s="610"/>
      <c r="H270" s="610"/>
      <c r="I270" s="610"/>
      <c r="J270" s="610"/>
      <c r="K270" s="610"/>
      <c r="L270" s="6"/>
      <c r="M270" s="6"/>
      <c r="N270" s="6"/>
      <c r="O270" s="6"/>
      <c r="P270" s="6"/>
      <c r="Q270" s="6"/>
      <c r="R270" s="6"/>
      <c r="S270" s="6"/>
      <c r="T270" s="6"/>
      <c r="U270" s="7"/>
    </row>
    <row r="271" ht="13.75" customHeight="1">
      <c r="A271" s="5"/>
      <c r="B271" s="613"/>
      <c r="C271" s="609"/>
      <c r="D271" s="610"/>
      <c r="E271" s="610"/>
      <c r="F271" s="610"/>
      <c r="G271" s="610"/>
      <c r="H271" s="610"/>
      <c r="I271" s="610"/>
      <c r="J271" s="610"/>
      <c r="K271" s="610"/>
      <c r="L271" s="6"/>
      <c r="M271" s="6"/>
      <c r="N271" s="6"/>
      <c r="O271" s="6"/>
      <c r="P271" s="6"/>
      <c r="Q271" s="6"/>
      <c r="R271" s="6"/>
      <c r="S271" s="6"/>
      <c r="T271" s="6"/>
      <c r="U271" s="7"/>
    </row>
    <row r="272" ht="13.75" customHeight="1">
      <c r="A272" s="5"/>
      <c r="B272" s="613"/>
      <c r="C272" s="609"/>
      <c r="D272" s="610"/>
      <c r="E272" s="610"/>
      <c r="F272" s="610"/>
      <c r="G272" s="610"/>
      <c r="H272" s="610"/>
      <c r="I272" s="610"/>
      <c r="J272" s="610"/>
      <c r="K272" s="610"/>
      <c r="L272" s="6"/>
      <c r="M272" s="6"/>
      <c r="N272" s="6"/>
      <c r="O272" s="6"/>
      <c r="P272" s="6"/>
      <c r="Q272" s="6"/>
      <c r="R272" s="6"/>
      <c r="S272" s="6"/>
      <c r="T272" s="6"/>
      <c r="U272" s="7"/>
    </row>
    <row r="273" ht="13.75" customHeight="1">
      <c r="A273" s="5"/>
      <c r="B273" s="613"/>
      <c r="C273" s="609"/>
      <c r="D273" s="610"/>
      <c r="E273" s="610"/>
      <c r="F273" s="610"/>
      <c r="G273" s="610"/>
      <c r="H273" s="610"/>
      <c r="I273" s="610"/>
      <c r="J273" s="610"/>
      <c r="K273" s="610"/>
      <c r="L273" s="6"/>
      <c r="M273" s="6"/>
      <c r="N273" s="6"/>
      <c r="O273" s="6"/>
      <c r="P273" s="6"/>
      <c r="Q273" s="6"/>
      <c r="R273" s="6"/>
      <c r="S273" s="6"/>
      <c r="T273" s="6"/>
      <c r="U273" s="7"/>
    </row>
    <row r="274" ht="13.75" customHeight="1">
      <c r="A274" s="5"/>
      <c r="B274" s="613"/>
      <c r="C274" s="609"/>
      <c r="D274" s="610"/>
      <c r="E274" s="610"/>
      <c r="F274" s="610"/>
      <c r="G274" s="610"/>
      <c r="H274" s="610"/>
      <c r="I274" s="610"/>
      <c r="J274" s="610"/>
      <c r="K274" s="610"/>
      <c r="L274" s="6"/>
      <c r="M274" s="6"/>
      <c r="N274" s="6"/>
      <c r="O274" s="6"/>
      <c r="P274" s="6"/>
      <c r="Q274" s="6"/>
      <c r="R274" s="6"/>
      <c r="S274" s="6"/>
      <c r="T274" s="6"/>
      <c r="U274" s="7"/>
    </row>
    <row r="275" ht="13.75" customHeight="1">
      <c r="A275" s="5"/>
      <c r="B275" s="613"/>
      <c r="C275" s="609"/>
      <c r="D275" s="610"/>
      <c r="E275" s="610"/>
      <c r="F275" s="610"/>
      <c r="G275" s="610"/>
      <c r="H275" s="610"/>
      <c r="I275" s="610"/>
      <c r="J275" s="610"/>
      <c r="K275" s="610"/>
      <c r="L275" s="6"/>
      <c r="M275" s="6"/>
      <c r="N275" s="6"/>
      <c r="O275" s="6"/>
      <c r="P275" s="6"/>
      <c r="Q275" s="6"/>
      <c r="R275" s="6"/>
      <c r="S275" s="6"/>
      <c r="T275" s="6"/>
      <c r="U275" s="7"/>
    </row>
    <row r="276" ht="13.75" customHeight="1">
      <c r="A276" s="5"/>
      <c r="B276" s="613"/>
      <c r="C276" s="609"/>
      <c r="D276" s="610"/>
      <c r="E276" s="610"/>
      <c r="F276" s="610"/>
      <c r="G276" s="610"/>
      <c r="H276" s="610"/>
      <c r="I276" s="610"/>
      <c r="J276" s="610"/>
      <c r="K276" s="610"/>
      <c r="L276" s="6"/>
      <c r="M276" s="6"/>
      <c r="N276" s="6"/>
      <c r="O276" s="6"/>
      <c r="P276" s="6"/>
      <c r="Q276" s="6"/>
      <c r="R276" s="6"/>
      <c r="S276" s="6"/>
      <c r="T276" s="6"/>
      <c r="U276" s="7"/>
    </row>
    <row r="277" ht="13.75" customHeight="1">
      <c r="A277" s="5"/>
      <c r="B277" s="613"/>
      <c r="C277" s="609"/>
      <c r="D277" s="610"/>
      <c r="E277" s="610"/>
      <c r="F277" s="610"/>
      <c r="G277" s="610"/>
      <c r="H277" s="610"/>
      <c r="I277" s="610"/>
      <c r="J277" s="610"/>
      <c r="K277" s="610"/>
      <c r="L277" s="6"/>
      <c r="M277" s="6"/>
      <c r="N277" s="6"/>
      <c r="O277" s="6"/>
      <c r="P277" s="6"/>
      <c r="Q277" s="6"/>
      <c r="R277" s="6"/>
      <c r="S277" s="6"/>
      <c r="T277" s="6"/>
      <c r="U277" s="7"/>
    </row>
    <row r="278" ht="13.75" customHeight="1">
      <c r="A278" s="5"/>
      <c r="B278" s="613"/>
      <c r="C278" s="609"/>
      <c r="D278" s="610"/>
      <c r="E278" s="610"/>
      <c r="F278" s="610"/>
      <c r="G278" s="610"/>
      <c r="H278" s="610"/>
      <c r="I278" s="610"/>
      <c r="J278" s="610"/>
      <c r="K278" s="610"/>
      <c r="L278" s="6"/>
      <c r="M278" s="6"/>
      <c r="N278" s="6"/>
      <c r="O278" s="6"/>
      <c r="P278" s="6"/>
      <c r="Q278" s="6"/>
      <c r="R278" s="6"/>
      <c r="S278" s="6"/>
      <c r="T278" s="6"/>
      <c r="U278" s="7"/>
    </row>
    <row r="279" ht="13.75" customHeight="1">
      <c r="A279" s="5"/>
      <c r="B279" s="613"/>
      <c r="C279" s="609"/>
      <c r="D279" s="610"/>
      <c r="E279" s="610"/>
      <c r="F279" s="610"/>
      <c r="G279" s="610"/>
      <c r="H279" s="610"/>
      <c r="I279" s="610"/>
      <c r="J279" s="610"/>
      <c r="K279" s="610"/>
      <c r="L279" s="6"/>
      <c r="M279" s="6"/>
      <c r="N279" s="6"/>
      <c r="O279" s="6"/>
      <c r="P279" s="6"/>
      <c r="Q279" s="6"/>
      <c r="R279" s="6"/>
      <c r="S279" s="6"/>
      <c r="T279" s="6"/>
      <c r="U279" s="7"/>
    </row>
    <row r="280" ht="13.75" customHeight="1">
      <c r="A280" s="5"/>
      <c r="B280" s="613"/>
      <c r="C280" s="609"/>
      <c r="D280" s="610"/>
      <c r="E280" s="610"/>
      <c r="F280" s="610"/>
      <c r="G280" s="610"/>
      <c r="H280" s="610"/>
      <c r="I280" s="610"/>
      <c r="J280" s="610"/>
      <c r="K280" s="610"/>
      <c r="L280" s="6"/>
      <c r="M280" s="6"/>
      <c r="N280" s="6"/>
      <c r="O280" s="6"/>
      <c r="P280" s="6"/>
      <c r="Q280" s="6"/>
      <c r="R280" s="6"/>
      <c r="S280" s="6"/>
      <c r="T280" s="6"/>
      <c r="U280" s="7"/>
    </row>
    <row r="281" ht="13.75" customHeight="1">
      <c r="A281" s="5"/>
      <c r="B281" s="613"/>
      <c r="C281" s="609"/>
      <c r="D281" s="610"/>
      <c r="E281" s="610"/>
      <c r="F281" s="610"/>
      <c r="G281" s="610"/>
      <c r="H281" s="610"/>
      <c r="I281" s="610"/>
      <c r="J281" s="610"/>
      <c r="K281" s="610"/>
      <c r="L281" s="6"/>
      <c r="M281" s="6"/>
      <c r="N281" s="6"/>
      <c r="O281" s="6"/>
      <c r="P281" s="6"/>
      <c r="Q281" s="6"/>
      <c r="R281" s="6"/>
      <c r="S281" s="6"/>
      <c r="T281" s="6"/>
      <c r="U281" s="7"/>
    </row>
    <row r="282" ht="13.75" customHeight="1">
      <c r="A282" s="5"/>
      <c r="B282" s="613"/>
      <c r="C282" s="609"/>
      <c r="D282" s="610"/>
      <c r="E282" s="610"/>
      <c r="F282" s="610"/>
      <c r="G282" s="610"/>
      <c r="H282" s="610"/>
      <c r="I282" s="610"/>
      <c r="J282" s="610"/>
      <c r="K282" s="610"/>
      <c r="L282" s="6"/>
      <c r="M282" s="6"/>
      <c r="N282" s="6"/>
      <c r="O282" s="6"/>
      <c r="P282" s="6"/>
      <c r="Q282" s="6"/>
      <c r="R282" s="6"/>
      <c r="S282" s="6"/>
      <c r="T282" s="6"/>
      <c r="U282" s="7"/>
    </row>
    <row r="283" ht="13.75" customHeight="1">
      <c r="A283" s="5"/>
      <c r="B283" s="613"/>
      <c r="C283" s="609"/>
      <c r="D283" s="610"/>
      <c r="E283" s="610"/>
      <c r="F283" s="610"/>
      <c r="G283" s="610"/>
      <c r="H283" s="610"/>
      <c r="I283" s="610"/>
      <c r="J283" s="610"/>
      <c r="K283" s="610"/>
      <c r="L283" s="6"/>
      <c r="M283" s="6"/>
      <c r="N283" s="6"/>
      <c r="O283" s="6"/>
      <c r="P283" s="6"/>
      <c r="Q283" s="6"/>
      <c r="R283" s="6"/>
      <c r="S283" s="6"/>
      <c r="T283" s="6"/>
      <c r="U283" s="7"/>
    </row>
    <row r="284" ht="13.75" customHeight="1">
      <c r="A284" s="5"/>
      <c r="B284" s="613"/>
      <c r="C284" s="609"/>
      <c r="D284" s="610"/>
      <c r="E284" s="610"/>
      <c r="F284" s="610"/>
      <c r="G284" s="610"/>
      <c r="H284" s="610"/>
      <c r="I284" s="610"/>
      <c r="J284" s="610"/>
      <c r="K284" s="610"/>
      <c r="L284" s="6"/>
      <c r="M284" s="6"/>
      <c r="N284" s="6"/>
      <c r="O284" s="6"/>
      <c r="P284" s="6"/>
      <c r="Q284" s="6"/>
      <c r="R284" s="6"/>
      <c r="S284" s="6"/>
      <c r="T284" s="6"/>
      <c r="U284" s="7"/>
    </row>
    <row r="285" ht="13.75" customHeight="1">
      <c r="A285" s="5"/>
      <c r="B285" s="613"/>
      <c r="C285" s="609"/>
      <c r="D285" s="610"/>
      <c r="E285" s="610"/>
      <c r="F285" s="610"/>
      <c r="G285" s="610"/>
      <c r="H285" s="610"/>
      <c r="I285" s="610"/>
      <c r="J285" s="610"/>
      <c r="K285" s="610"/>
      <c r="L285" s="6"/>
      <c r="M285" s="6"/>
      <c r="N285" s="6"/>
      <c r="O285" s="6"/>
      <c r="P285" s="6"/>
      <c r="Q285" s="6"/>
      <c r="R285" s="6"/>
      <c r="S285" s="6"/>
      <c r="T285" s="6"/>
      <c r="U285" s="7"/>
    </row>
    <row r="286" ht="13.75" customHeight="1">
      <c r="A286" s="5"/>
      <c r="B286" s="613"/>
      <c r="C286" s="609"/>
      <c r="D286" s="610"/>
      <c r="E286" s="610"/>
      <c r="F286" s="610"/>
      <c r="G286" s="610"/>
      <c r="H286" s="610"/>
      <c r="I286" s="610"/>
      <c r="J286" s="610"/>
      <c r="K286" s="610"/>
      <c r="L286" s="6"/>
      <c r="M286" s="6"/>
      <c r="N286" s="6"/>
      <c r="O286" s="6"/>
      <c r="P286" s="6"/>
      <c r="Q286" s="6"/>
      <c r="R286" s="6"/>
      <c r="S286" s="6"/>
      <c r="T286" s="6"/>
      <c r="U286" s="7"/>
    </row>
    <row r="287" ht="13.75" customHeight="1">
      <c r="A287" s="5"/>
      <c r="B287" s="613"/>
      <c r="C287" s="609"/>
      <c r="D287" s="610"/>
      <c r="E287" s="610"/>
      <c r="F287" s="610"/>
      <c r="G287" s="610"/>
      <c r="H287" s="610"/>
      <c r="I287" s="610"/>
      <c r="J287" s="610"/>
      <c r="K287" s="610"/>
      <c r="L287" s="6"/>
      <c r="M287" s="6"/>
      <c r="N287" s="6"/>
      <c r="O287" s="6"/>
      <c r="P287" s="6"/>
      <c r="Q287" s="6"/>
      <c r="R287" s="6"/>
      <c r="S287" s="6"/>
      <c r="T287" s="6"/>
      <c r="U287" s="7"/>
    </row>
    <row r="288" ht="13.75" customHeight="1">
      <c r="A288" s="5"/>
      <c r="B288" s="613"/>
      <c r="C288" s="609"/>
      <c r="D288" s="610"/>
      <c r="E288" s="610"/>
      <c r="F288" s="610"/>
      <c r="G288" s="610"/>
      <c r="H288" s="610"/>
      <c r="I288" s="610"/>
      <c r="J288" s="610"/>
      <c r="K288" s="610"/>
      <c r="L288" s="6"/>
      <c r="M288" s="6"/>
      <c r="N288" s="6"/>
      <c r="O288" s="6"/>
      <c r="P288" s="6"/>
      <c r="Q288" s="6"/>
      <c r="R288" s="6"/>
      <c r="S288" s="6"/>
      <c r="T288" s="6"/>
      <c r="U288" s="7"/>
    </row>
    <row r="289" ht="13.75" customHeight="1">
      <c r="A289" s="5"/>
      <c r="B289" s="613"/>
      <c r="C289" s="609"/>
      <c r="D289" s="610"/>
      <c r="E289" s="610"/>
      <c r="F289" s="610"/>
      <c r="G289" s="610"/>
      <c r="H289" s="610"/>
      <c r="I289" s="610"/>
      <c r="J289" s="610"/>
      <c r="K289" s="610"/>
      <c r="L289" s="6"/>
      <c r="M289" s="6"/>
      <c r="N289" s="6"/>
      <c r="O289" s="6"/>
      <c r="P289" s="6"/>
      <c r="Q289" s="6"/>
      <c r="R289" s="6"/>
      <c r="S289" s="6"/>
      <c r="T289" s="6"/>
      <c r="U289" s="7"/>
    </row>
    <row r="290" ht="13.75" customHeight="1">
      <c r="A290" s="5"/>
      <c r="B290" s="613"/>
      <c r="C290" s="609"/>
      <c r="D290" s="610"/>
      <c r="E290" s="610"/>
      <c r="F290" s="610"/>
      <c r="G290" s="610"/>
      <c r="H290" s="610"/>
      <c r="I290" s="610"/>
      <c r="J290" s="610"/>
      <c r="K290" s="610"/>
      <c r="L290" s="6"/>
      <c r="M290" s="6"/>
      <c r="N290" s="6"/>
      <c r="O290" s="6"/>
      <c r="P290" s="6"/>
      <c r="Q290" s="6"/>
      <c r="R290" s="6"/>
      <c r="S290" s="6"/>
      <c r="T290" s="6"/>
      <c r="U290" s="7"/>
    </row>
    <row r="291" ht="13.75" customHeight="1">
      <c r="A291" s="5"/>
      <c r="B291" s="613"/>
      <c r="C291" s="609"/>
      <c r="D291" s="610"/>
      <c r="E291" s="610"/>
      <c r="F291" s="610"/>
      <c r="G291" s="610"/>
      <c r="H291" s="610"/>
      <c r="I291" s="610"/>
      <c r="J291" s="610"/>
      <c r="K291" s="610"/>
      <c r="L291" s="6"/>
      <c r="M291" s="6"/>
      <c r="N291" s="6"/>
      <c r="O291" s="6"/>
      <c r="P291" s="6"/>
      <c r="Q291" s="6"/>
      <c r="R291" s="6"/>
      <c r="S291" s="6"/>
      <c r="T291" s="6"/>
      <c r="U291" s="7"/>
    </row>
    <row r="292" ht="13.75" customHeight="1">
      <c r="A292" s="5"/>
      <c r="B292" s="613"/>
      <c r="C292" s="609"/>
      <c r="D292" s="610"/>
      <c r="E292" s="610"/>
      <c r="F292" s="610"/>
      <c r="G292" s="610"/>
      <c r="H292" s="610"/>
      <c r="I292" s="610"/>
      <c r="J292" s="610"/>
      <c r="K292" s="610"/>
      <c r="L292" s="6"/>
      <c r="M292" s="6"/>
      <c r="N292" s="6"/>
      <c r="O292" s="6"/>
      <c r="P292" s="6"/>
      <c r="Q292" s="6"/>
      <c r="R292" s="6"/>
      <c r="S292" s="6"/>
      <c r="T292" s="6"/>
      <c r="U292" s="7"/>
    </row>
    <row r="293" ht="13.75" customHeight="1">
      <c r="A293" s="5"/>
      <c r="B293" s="613"/>
      <c r="C293" s="609"/>
      <c r="D293" s="610"/>
      <c r="E293" s="610"/>
      <c r="F293" s="610"/>
      <c r="G293" s="610"/>
      <c r="H293" s="610"/>
      <c r="I293" s="610"/>
      <c r="J293" s="610"/>
      <c r="K293" s="610"/>
      <c r="L293" s="6"/>
      <c r="M293" s="6"/>
      <c r="N293" s="6"/>
      <c r="O293" s="6"/>
      <c r="P293" s="6"/>
      <c r="Q293" s="6"/>
      <c r="R293" s="6"/>
      <c r="S293" s="6"/>
      <c r="T293" s="6"/>
      <c r="U293" s="7"/>
    </row>
    <row r="294" ht="13.75" customHeight="1">
      <c r="A294" s="5"/>
      <c r="B294" s="613"/>
      <c r="C294" s="609"/>
      <c r="D294" s="610"/>
      <c r="E294" s="610"/>
      <c r="F294" s="610"/>
      <c r="G294" s="610"/>
      <c r="H294" s="610"/>
      <c r="I294" s="610"/>
      <c r="J294" s="610"/>
      <c r="K294" s="610"/>
      <c r="L294" s="6"/>
      <c r="M294" s="6"/>
      <c r="N294" s="6"/>
      <c r="O294" s="6"/>
      <c r="P294" s="6"/>
      <c r="Q294" s="6"/>
      <c r="R294" s="6"/>
      <c r="S294" s="6"/>
      <c r="T294" s="6"/>
      <c r="U294" s="7"/>
    </row>
    <row r="295" ht="13.75" customHeight="1">
      <c r="A295" s="5"/>
      <c r="B295" s="613"/>
      <c r="C295" s="609"/>
      <c r="D295" s="610"/>
      <c r="E295" s="610"/>
      <c r="F295" s="610"/>
      <c r="G295" s="610"/>
      <c r="H295" s="610"/>
      <c r="I295" s="610"/>
      <c r="J295" s="610"/>
      <c r="K295" s="610"/>
      <c r="L295" s="6"/>
      <c r="M295" s="6"/>
      <c r="N295" s="6"/>
      <c r="O295" s="6"/>
      <c r="P295" s="6"/>
      <c r="Q295" s="6"/>
      <c r="R295" s="6"/>
      <c r="S295" s="6"/>
      <c r="T295" s="6"/>
      <c r="U295" s="7"/>
    </row>
    <row r="296" ht="13.75" customHeight="1">
      <c r="A296" s="5"/>
      <c r="B296" s="613"/>
      <c r="C296" s="609"/>
      <c r="D296" s="610"/>
      <c r="E296" s="610"/>
      <c r="F296" s="610"/>
      <c r="G296" s="610"/>
      <c r="H296" s="610"/>
      <c r="I296" s="610"/>
      <c r="J296" s="610"/>
      <c r="K296" s="610"/>
      <c r="L296" s="6"/>
      <c r="M296" s="6"/>
      <c r="N296" s="6"/>
      <c r="O296" s="6"/>
      <c r="P296" s="6"/>
      <c r="Q296" s="6"/>
      <c r="R296" s="6"/>
      <c r="S296" s="6"/>
      <c r="T296" s="6"/>
      <c r="U296" s="7"/>
    </row>
    <row r="297" ht="13.75" customHeight="1">
      <c r="A297" s="5"/>
      <c r="B297" s="613"/>
      <c r="C297" s="609"/>
      <c r="D297" s="610"/>
      <c r="E297" s="610"/>
      <c r="F297" s="610"/>
      <c r="G297" s="610"/>
      <c r="H297" s="610"/>
      <c r="I297" s="610"/>
      <c r="J297" s="610"/>
      <c r="K297" s="610"/>
      <c r="L297" s="6"/>
      <c r="M297" s="6"/>
      <c r="N297" s="6"/>
      <c r="O297" s="6"/>
      <c r="P297" s="6"/>
      <c r="Q297" s="6"/>
      <c r="R297" s="6"/>
      <c r="S297" s="6"/>
      <c r="T297" s="6"/>
      <c r="U297" s="7"/>
    </row>
    <row r="298" ht="13.75" customHeight="1">
      <c r="A298" s="5"/>
      <c r="B298" s="613"/>
      <c r="C298" s="609"/>
      <c r="D298" s="610"/>
      <c r="E298" s="610"/>
      <c r="F298" s="610"/>
      <c r="G298" s="610"/>
      <c r="H298" s="610"/>
      <c r="I298" s="610"/>
      <c r="J298" s="610"/>
      <c r="K298" s="610"/>
      <c r="L298" s="6"/>
      <c r="M298" s="6"/>
      <c r="N298" s="6"/>
      <c r="O298" s="6"/>
      <c r="P298" s="6"/>
      <c r="Q298" s="6"/>
      <c r="R298" s="6"/>
      <c r="S298" s="6"/>
      <c r="T298" s="6"/>
      <c r="U298" s="7"/>
    </row>
    <row r="299" ht="13.75" customHeight="1">
      <c r="A299" s="5"/>
      <c r="B299" s="613"/>
      <c r="C299" s="609"/>
      <c r="D299" s="610"/>
      <c r="E299" s="610"/>
      <c r="F299" s="610"/>
      <c r="G299" s="610"/>
      <c r="H299" s="610"/>
      <c r="I299" s="610"/>
      <c r="J299" s="610"/>
      <c r="K299" s="610"/>
      <c r="L299" s="6"/>
      <c r="M299" s="6"/>
      <c r="N299" s="6"/>
      <c r="O299" s="6"/>
      <c r="P299" s="6"/>
      <c r="Q299" s="6"/>
      <c r="R299" s="6"/>
      <c r="S299" s="6"/>
      <c r="T299" s="6"/>
      <c r="U299" s="7"/>
    </row>
    <row r="300" ht="13.75" customHeight="1">
      <c r="A300" s="5"/>
      <c r="B300" s="613"/>
      <c r="C300" s="609"/>
      <c r="D300" s="610"/>
      <c r="E300" s="610"/>
      <c r="F300" s="610"/>
      <c r="G300" s="610"/>
      <c r="H300" s="610"/>
      <c r="I300" s="610"/>
      <c r="J300" s="610"/>
      <c r="K300" s="610"/>
      <c r="L300" s="6"/>
      <c r="M300" s="6"/>
      <c r="N300" s="6"/>
      <c r="O300" s="6"/>
      <c r="P300" s="6"/>
      <c r="Q300" s="6"/>
      <c r="R300" s="6"/>
      <c r="S300" s="6"/>
      <c r="T300" s="6"/>
      <c r="U300" s="7"/>
    </row>
    <row r="301" ht="13.75" customHeight="1">
      <c r="A301" s="5"/>
      <c r="B301" s="613"/>
      <c r="C301" s="609"/>
      <c r="D301" s="610"/>
      <c r="E301" s="610"/>
      <c r="F301" s="610"/>
      <c r="G301" s="610"/>
      <c r="H301" s="610"/>
      <c r="I301" s="610"/>
      <c r="J301" s="610"/>
      <c r="K301" s="610"/>
      <c r="L301" s="6"/>
      <c r="M301" s="6"/>
      <c r="N301" s="6"/>
      <c r="O301" s="6"/>
      <c r="P301" s="6"/>
      <c r="Q301" s="6"/>
      <c r="R301" s="6"/>
      <c r="S301" s="6"/>
      <c r="T301" s="6"/>
      <c r="U301" s="7"/>
    </row>
    <row r="302" ht="13.75" customHeight="1">
      <c r="A302" s="5"/>
      <c r="B302" s="613"/>
      <c r="C302" s="609"/>
      <c r="D302" s="610"/>
      <c r="E302" s="610"/>
      <c r="F302" s="610"/>
      <c r="G302" s="610"/>
      <c r="H302" s="610"/>
      <c r="I302" s="610"/>
      <c r="J302" s="610"/>
      <c r="K302" s="610"/>
      <c r="L302" s="6"/>
      <c r="M302" s="6"/>
      <c r="N302" s="6"/>
      <c r="O302" s="6"/>
      <c r="P302" s="6"/>
      <c r="Q302" s="6"/>
      <c r="R302" s="6"/>
      <c r="S302" s="6"/>
      <c r="T302" s="6"/>
      <c r="U302" s="7"/>
    </row>
    <row r="303" ht="13.75" customHeight="1">
      <c r="A303" s="5"/>
      <c r="B303" s="613"/>
      <c r="C303" s="609"/>
      <c r="D303" s="610"/>
      <c r="E303" s="610"/>
      <c r="F303" s="610"/>
      <c r="G303" s="610"/>
      <c r="H303" s="610"/>
      <c r="I303" s="610"/>
      <c r="J303" s="610"/>
      <c r="K303" s="610"/>
      <c r="L303" s="6"/>
      <c r="M303" s="6"/>
      <c r="N303" s="6"/>
      <c r="O303" s="6"/>
      <c r="P303" s="6"/>
      <c r="Q303" s="6"/>
      <c r="R303" s="6"/>
      <c r="S303" s="6"/>
      <c r="T303" s="6"/>
      <c r="U303" s="7"/>
    </row>
    <row r="304" ht="13.75" customHeight="1">
      <c r="A304" s="5"/>
      <c r="B304" s="613"/>
      <c r="C304" s="609"/>
      <c r="D304" s="610"/>
      <c r="E304" s="610"/>
      <c r="F304" s="610"/>
      <c r="G304" s="610"/>
      <c r="H304" s="610"/>
      <c r="I304" s="610"/>
      <c r="J304" s="610"/>
      <c r="K304" s="610"/>
      <c r="L304" s="6"/>
      <c r="M304" s="6"/>
      <c r="N304" s="6"/>
      <c r="O304" s="6"/>
      <c r="P304" s="6"/>
      <c r="Q304" s="6"/>
      <c r="R304" s="6"/>
      <c r="S304" s="6"/>
      <c r="T304" s="6"/>
      <c r="U304" s="7"/>
    </row>
    <row r="305" ht="13.75" customHeight="1">
      <c r="A305" s="5"/>
      <c r="B305" s="613"/>
      <c r="C305" s="609"/>
      <c r="D305" s="610"/>
      <c r="E305" s="610"/>
      <c r="F305" s="610"/>
      <c r="G305" s="610"/>
      <c r="H305" s="610"/>
      <c r="I305" s="610"/>
      <c r="J305" s="610"/>
      <c r="K305" s="610"/>
      <c r="L305" s="6"/>
      <c r="M305" s="6"/>
      <c r="N305" s="6"/>
      <c r="O305" s="6"/>
      <c r="P305" s="6"/>
      <c r="Q305" s="6"/>
      <c r="R305" s="6"/>
      <c r="S305" s="6"/>
      <c r="T305" s="6"/>
      <c r="U305" s="7"/>
    </row>
    <row r="306" ht="13.75" customHeight="1">
      <c r="A306" s="5"/>
      <c r="B306" s="613"/>
      <c r="C306" s="609"/>
      <c r="D306" s="610"/>
      <c r="E306" s="610"/>
      <c r="F306" s="610"/>
      <c r="G306" s="610"/>
      <c r="H306" s="610"/>
      <c r="I306" s="610"/>
      <c r="J306" s="610"/>
      <c r="K306" s="610"/>
      <c r="L306" s="6"/>
      <c r="M306" s="6"/>
      <c r="N306" s="6"/>
      <c r="O306" s="6"/>
      <c r="P306" s="6"/>
      <c r="Q306" s="6"/>
      <c r="R306" s="6"/>
      <c r="S306" s="6"/>
      <c r="T306" s="6"/>
      <c r="U306" s="7"/>
    </row>
    <row r="307" ht="13.75" customHeight="1">
      <c r="A307" s="5"/>
      <c r="B307" s="613"/>
      <c r="C307" s="609"/>
      <c r="D307" s="610"/>
      <c r="E307" s="610"/>
      <c r="F307" s="610"/>
      <c r="G307" s="610"/>
      <c r="H307" s="610"/>
      <c r="I307" s="610"/>
      <c r="J307" s="610"/>
      <c r="K307" s="610"/>
      <c r="L307" s="6"/>
      <c r="M307" s="6"/>
      <c r="N307" s="6"/>
      <c r="O307" s="6"/>
      <c r="P307" s="6"/>
      <c r="Q307" s="6"/>
      <c r="R307" s="6"/>
      <c r="S307" s="6"/>
      <c r="T307" s="6"/>
      <c r="U307" s="7"/>
    </row>
    <row r="308" ht="13.75" customHeight="1">
      <c r="A308" s="5"/>
      <c r="B308" s="613"/>
      <c r="C308" s="609"/>
      <c r="D308" s="610"/>
      <c r="E308" s="610"/>
      <c r="F308" s="610"/>
      <c r="G308" s="610"/>
      <c r="H308" s="610"/>
      <c r="I308" s="610"/>
      <c r="J308" s="610"/>
      <c r="K308" s="610"/>
      <c r="L308" s="6"/>
      <c r="M308" s="6"/>
      <c r="N308" s="6"/>
      <c r="O308" s="6"/>
      <c r="P308" s="6"/>
      <c r="Q308" s="6"/>
      <c r="R308" s="6"/>
      <c r="S308" s="6"/>
      <c r="T308" s="6"/>
      <c r="U308" s="7"/>
    </row>
    <row r="309" ht="13.75" customHeight="1">
      <c r="A309" s="5"/>
      <c r="B309" s="613"/>
      <c r="C309" s="609"/>
      <c r="D309" s="610"/>
      <c r="E309" s="610"/>
      <c r="F309" s="610"/>
      <c r="G309" s="610"/>
      <c r="H309" s="610"/>
      <c r="I309" s="610"/>
      <c r="J309" s="610"/>
      <c r="K309" s="610"/>
      <c r="L309" s="6"/>
      <c r="M309" s="6"/>
      <c r="N309" s="6"/>
      <c r="O309" s="6"/>
      <c r="P309" s="6"/>
      <c r="Q309" s="6"/>
      <c r="R309" s="6"/>
      <c r="S309" s="6"/>
      <c r="T309" s="6"/>
      <c r="U309" s="7"/>
    </row>
    <row r="310" ht="13.75" customHeight="1">
      <c r="A310" s="5"/>
      <c r="B310" s="613"/>
      <c r="C310" s="609"/>
      <c r="D310" s="610"/>
      <c r="E310" s="610"/>
      <c r="F310" s="610"/>
      <c r="G310" s="610"/>
      <c r="H310" s="610"/>
      <c r="I310" s="610"/>
      <c r="J310" s="610"/>
      <c r="K310" s="610"/>
      <c r="L310" s="6"/>
      <c r="M310" s="6"/>
      <c r="N310" s="6"/>
      <c r="O310" s="6"/>
      <c r="P310" s="6"/>
      <c r="Q310" s="6"/>
      <c r="R310" s="6"/>
      <c r="S310" s="6"/>
      <c r="T310" s="6"/>
      <c r="U310" s="7"/>
    </row>
    <row r="311" ht="13.75" customHeight="1">
      <c r="A311" s="5"/>
      <c r="B311" s="613"/>
      <c r="C311" s="609"/>
      <c r="D311" s="610"/>
      <c r="E311" s="610"/>
      <c r="F311" s="610"/>
      <c r="G311" s="610"/>
      <c r="H311" s="610"/>
      <c r="I311" s="610"/>
      <c r="J311" s="610"/>
      <c r="K311" s="610"/>
      <c r="L311" s="6"/>
      <c r="M311" s="6"/>
      <c r="N311" s="6"/>
      <c r="O311" s="6"/>
      <c r="P311" s="6"/>
      <c r="Q311" s="6"/>
      <c r="R311" s="6"/>
      <c r="S311" s="6"/>
      <c r="T311" s="6"/>
      <c r="U311" s="7"/>
    </row>
    <row r="312" ht="13.75" customHeight="1">
      <c r="A312" s="5"/>
      <c r="B312" s="613"/>
      <c r="C312" s="609"/>
      <c r="D312" s="610"/>
      <c r="E312" s="610"/>
      <c r="F312" s="610"/>
      <c r="G312" s="610"/>
      <c r="H312" s="610"/>
      <c r="I312" s="610"/>
      <c r="J312" s="610"/>
      <c r="K312" s="610"/>
      <c r="L312" s="6"/>
      <c r="M312" s="6"/>
      <c r="N312" s="6"/>
      <c r="O312" s="6"/>
      <c r="P312" s="6"/>
      <c r="Q312" s="6"/>
      <c r="R312" s="6"/>
      <c r="S312" s="6"/>
      <c r="T312" s="6"/>
      <c r="U312" s="7"/>
    </row>
    <row r="313" ht="13.75" customHeight="1">
      <c r="A313" s="5"/>
      <c r="B313" s="613"/>
      <c r="C313" s="609"/>
      <c r="D313" s="610"/>
      <c r="E313" s="610"/>
      <c r="F313" s="610"/>
      <c r="G313" s="610"/>
      <c r="H313" s="610"/>
      <c r="I313" s="610"/>
      <c r="J313" s="610"/>
      <c r="K313" s="610"/>
      <c r="L313" s="6"/>
      <c r="M313" s="6"/>
      <c r="N313" s="6"/>
      <c r="O313" s="6"/>
      <c r="P313" s="6"/>
      <c r="Q313" s="6"/>
      <c r="R313" s="6"/>
      <c r="S313" s="6"/>
      <c r="T313" s="6"/>
      <c r="U313" s="7"/>
    </row>
    <row r="314" ht="13.75" customHeight="1">
      <c r="A314" s="5"/>
      <c r="B314" s="613"/>
      <c r="C314" s="609"/>
      <c r="D314" s="610"/>
      <c r="E314" s="610"/>
      <c r="F314" s="610"/>
      <c r="G314" s="610"/>
      <c r="H314" s="610"/>
      <c r="I314" s="610"/>
      <c r="J314" s="610"/>
      <c r="K314" s="610"/>
      <c r="L314" s="6"/>
      <c r="M314" s="6"/>
      <c r="N314" s="6"/>
      <c r="O314" s="6"/>
      <c r="P314" s="6"/>
      <c r="Q314" s="6"/>
      <c r="R314" s="6"/>
      <c r="S314" s="6"/>
      <c r="T314" s="6"/>
      <c r="U314" s="7"/>
    </row>
    <row r="315" ht="13.75" customHeight="1">
      <c r="A315" s="5"/>
      <c r="B315" s="613"/>
      <c r="C315" s="609"/>
      <c r="D315" s="610"/>
      <c r="E315" s="610"/>
      <c r="F315" s="610"/>
      <c r="G315" s="610"/>
      <c r="H315" s="610"/>
      <c r="I315" s="610"/>
      <c r="J315" s="610"/>
      <c r="K315" s="610"/>
      <c r="L315" s="6"/>
      <c r="M315" s="6"/>
      <c r="N315" s="6"/>
      <c r="O315" s="6"/>
      <c r="P315" s="6"/>
      <c r="Q315" s="6"/>
      <c r="R315" s="6"/>
      <c r="S315" s="6"/>
      <c r="T315" s="6"/>
      <c r="U315" s="7"/>
    </row>
    <row r="316" ht="13.75" customHeight="1">
      <c r="A316" s="5"/>
      <c r="B316" s="613"/>
      <c r="C316" s="609"/>
      <c r="D316" s="610"/>
      <c r="E316" s="610"/>
      <c r="F316" s="610"/>
      <c r="G316" s="610"/>
      <c r="H316" s="610"/>
      <c r="I316" s="610"/>
      <c r="J316" s="610"/>
      <c r="K316" s="610"/>
      <c r="L316" s="6"/>
      <c r="M316" s="6"/>
      <c r="N316" s="6"/>
      <c r="O316" s="6"/>
      <c r="P316" s="6"/>
      <c r="Q316" s="6"/>
      <c r="R316" s="6"/>
      <c r="S316" s="6"/>
      <c r="T316" s="6"/>
      <c r="U316" s="7"/>
    </row>
    <row r="317" ht="13.75" customHeight="1">
      <c r="A317" s="5"/>
      <c r="B317" s="613"/>
      <c r="C317" s="609"/>
      <c r="D317" s="610"/>
      <c r="E317" s="610"/>
      <c r="F317" s="610"/>
      <c r="G317" s="610"/>
      <c r="H317" s="610"/>
      <c r="I317" s="610"/>
      <c r="J317" s="610"/>
      <c r="K317" s="610"/>
      <c r="L317" s="6"/>
      <c r="M317" s="6"/>
      <c r="N317" s="6"/>
      <c r="O317" s="6"/>
      <c r="P317" s="6"/>
      <c r="Q317" s="6"/>
      <c r="R317" s="6"/>
      <c r="S317" s="6"/>
      <c r="T317" s="6"/>
      <c r="U317" s="7"/>
    </row>
    <row r="318" ht="13.75" customHeight="1">
      <c r="A318" s="5"/>
      <c r="B318" s="613"/>
      <c r="C318" s="609"/>
      <c r="D318" s="610"/>
      <c r="E318" s="610"/>
      <c r="F318" s="610"/>
      <c r="G318" s="610"/>
      <c r="H318" s="610"/>
      <c r="I318" s="610"/>
      <c r="J318" s="610"/>
      <c r="K318" s="610"/>
      <c r="L318" s="6"/>
      <c r="M318" s="6"/>
      <c r="N318" s="6"/>
      <c r="O318" s="6"/>
      <c r="P318" s="6"/>
      <c r="Q318" s="6"/>
      <c r="R318" s="6"/>
      <c r="S318" s="6"/>
      <c r="T318" s="6"/>
      <c r="U318" s="7"/>
    </row>
    <row r="319" ht="13.75" customHeight="1">
      <c r="A319" s="5"/>
      <c r="B319" s="613"/>
      <c r="C319" s="609"/>
      <c r="D319" s="610"/>
      <c r="E319" s="610"/>
      <c r="F319" s="610"/>
      <c r="G319" s="610"/>
      <c r="H319" s="610"/>
      <c r="I319" s="610"/>
      <c r="J319" s="610"/>
      <c r="K319" s="610"/>
      <c r="L319" s="6"/>
      <c r="M319" s="6"/>
      <c r="N319" s="6"/>
      <c r="O319" s="6"/>
      <c r="P319" s="6"/>
      <c r="Q319" s="6"/>
      <c r="R319" s="6"/>
      <c r="S319" s="6"/>
      <c r="T319" s="6"/>
      <c r="U319" s="7"/>
    </row>
    <row r="320" ht="13.75" customHeight="1">
      <c r="A320" s="5"/>
      <c r="B320" s="613"/>
      <c r="C320" s="609"/>
      <c r="D320" s="610"/>
      <c r="E320" s="610"/>
      <c r="F320" s="610"/>
      <c r="G320" s="610"/>
      <c r="H320" s="610"/>
      <c r="I320" s="610"/>
      <c r="J320" s="610"/>
      <c r="K320" s="610"/>
      <c r="L320" s="6"/>
      <c r="M320" s="6"/>
      <c r="N320" s="6"/>
      <c r="O320" s="6"/>
      <c r="P320" s="6"/>
      <c r="Q320" s="6"/>
      <c r="R320" s="6"/>
      <c r="S320" s="6"/>
      <c r="T320" s="6"/>
      <c r="U320" s="7"/>
    </row>
    <row r="321" ht="13.75" customHeight="1">
      <c r="A321" s="5"/>
      <c r="B321" s="613"/>
      <c r="C321" s="609"/>
      <c r="D321" s="610"/>
      <c r="E321" s="610"/>
      <c r="F321" s="610"/>
      <c r="G321" s="610"/>
      <c r="H321" s="610"/>
      <c r="I321" s="610"/>
      <c r="J321" s="610"/>
      <c r="K321" s="610"/>
      <c r="L321" s="6"/>
      <c r="M321" s="6"/>
      <c r="N321" s="6"/>
      <c r="O321" s="6"/>
      <c r="P321" s="6"/>
      <c r="Q321" s="6"/>
      <c r="R321" s="6"/>
      <c r="S321" s="6"/>
      <c r="T321" s="6"/>
      <c r="U321" s="7"/>
    </row>
    <row r="322" ht="13.75" customHeight="1">
      <c r="A322" s="5"/>
      <c r="B322" s="613"/>
      <c r="C322" s="609"/>
      <c r="D322" s="610"/>
      <c r="E322" s="610"/>
      <c r="F322" s="610"/>
      <c r="G322" s="610"/>
      <c r="H322" s="610"/>
      <c r="I322" s="610"/>
      <c r="J322" s="610"/>
      <c r="K322" s="610"/>
      <c r="L322" s="6"/>
      <c r="M322" s="6"/>
      <c r="N322" s="6"/>
      <c r="O322" s="6"/>
      <c r="P322" s="6"/>
      <c r="Q322" s="6"/>
      <c r="R322" s="6"/>
      <c r="S322" s="6"/>
      <c r="T322" s="6"/>
      <c r="U322" s="7"/>
    </row>
    <row r="323" ht="13.75" customHeight="1">
      <c r="A323" s="5"/>
      <c r="B323" s="613"/>
      <c r="C323" s="609"/>
      <c r="D323" s="610"/>
      <c r="E323" s="610"/>
      <c r="F323" s="610"/>
      <c r="G323" s="610"/>
      <c r="H323" s="610"/>
      <c r="I323" s="610"/>
      <c r="J323" s="610"/>
      <c r="K323" s="610"/>
      <c r="L323" s="6"/>
      <c r="M323" s="6"/>
      <c r="N323" s="6"/>
      <c r="O323" s="6"/>
      <c r="P323" s="6"/>
      <c r="Q323" s="6"/>
      <c r="R323" s="6"/>
      <c r="S323" s="6"/>
      <c r="T323" s="6"/>
      <c r="U323" s="7"/>
    </row>
    <row r="324" ht="13.75" customHeight="1">
      <c r="A324" s="5"/>
      <c r="B324" s="613"/>
      <c r="C324" s="609"/>
      <c r="D324" s="610"/>
      <c r="E324" s="610"/>
      <c r="F324" s="610"/>
      <c r="G324" s="610"/>
      <c r="H324" s="610"/>
      <c r="I324" s="610"/>
      <c r="J324" s="610"/>
      <c r="K324" s="610"/>
      <c r="L324" s="6"/>
      <c r="M324" s="6"/>
      <c r="N324" s="6"/>
      <c r="O324" s="6"/>
      <c r="P324" s="6"/>
      <c r="Q324" s="6"/>
      <c r="R324" s="6"/>
      <c r="S324" s="6"/>
      <c r="T324" s="6"/>
      <c r="U324" s="7"/>
    </row>
    <row r="325" ht="13.75" customHeight="1">
      <c r="A325" s="5"/>
      <c r="B325" s="613"/>
      <c r="C325" s="609"/>
      <c r="D325" s="610"/>
      <c r="E325" s="610"/>
      <c r="F325" s="610"/>
      <c r="G325" s="610"/>
      <c r="H325" s="610"/>
      <c r="I325" s="610"/>
      <c r="J325" s="610"/>
      <c r="K325" s="610"/>
      <c r="L325" s="6"/>
      <c r="M325" s="6"/>
      <c r="N325" s="6"/>
      <c r="O325" s="6"/>
      <c r="P325" s="6"/>
      <c r="Q325" s="6"/>
      <c r="R325" s="6"/>
      <c r="S325" s="6"/>
      <c r="T325" s="6"/>
      <c r="U325" s="7"/>
    </row>
    <row r="326" ht="13.75" customHeight="1">
      <c r="A326" s="5"/>
      <c r="B326" s="613"/>
      <c r="C326" s="609"/>
      <c r="D326" s="610"/>
      <c r="E326" s="610"/>
      <c r="F326" s="610"/>
      <c r="G326" s="610"/>
      <c r="H326" s="610"/>
      <c r="I326" s="610"/>
      <c r="J326" s="610"/>
      <c r="K326" s="610"/>
      <c r="L326" s="6"/>
      <c r="M326" s="6"/>
      <c r="N326" s="6"/>
      <c r="O326" s="6"/>
      <c r="P326" s="6"/>
      <c r="Q326" s="6"/>
      <c r="R326" s="6"/>
      <c r="S326" s="6"/>
      <c r="T326" s="6"/>
      <c r="U326" s="7"/>
    </row>
    <row r="327" ht="13.75" customHeight="1">
      <c r="A327" s="5"/>
      <c r="B327" s="613"/>
      <c r="C327" s="609"/>
      <c r="D327" s="610"/>
      <c r="E327" s="610"/>
      <c r="F327" s="610"/>
      <c r="G327" s="610"/>
      <c r="H327" s="610"/>
      <c r="I327" s="610"/>
      <c r="J327" s="610"/>
      <c r="K327" s="610"/>
      <c r="L327" s="6"/>
      <c r="M327" s="6"/>
      <c r="N327" s="6"/>
      <c r="O327" s="6"/>
      <c r="P327" s="6"/>
      <c r="Q327" s="6"/>
      <c r="R327" s="6"/>
      <c r="S327" s="6"/>
      <c r="T327" s="6"/>
      <c r="U327" s="7"/>
    </row>
    <row r="328" ht="13.75" customHeight="1">
      <c r="A328" s="5"/>
      <c r="B328" s="613"/>
      <c r="C328" s="609"/>
      <c r="D328" s="610"/>
      <c r="E328" s="610"/>
      <c r="F328" s="610"/>
      <c r="G328" s="610"/>
      <c r="H328" s="610"/>
      <c r="I328" s="610"/>
      <c r="J328" s="610"/>
      <c r="K328" s="610"/>
      <c r="L328" s="6"/>
      <c r="M328" s="6"/>
      <c r="N328" s="6"/>
      <c r="O328" s="6"/>
      <c r="P328" s="6"/>
      <c r="Q328" s="6"/>
      <c r="R328" s="6"/>
      <c r="S328" s="6"/>
      <c r="T328" s="6"/>
      <c r="U328" s="7"/>
    </row>
    <row r="329" ht="13.75" customHeight="1">
      <c r="A329" s="5"/>
      <c r="B329" s="613"/>
      <c r="C329" s="609"/>
      <c r="D329" s="610"/>
      <c r="E329" s="610"/>
      <c r="F329" s="610"/>
      <c r="G329" s="610"/>
      <c r="H329" s="610"/>
      <c r="I329" s="610"/>
      <c r="J329" s="610"/>
      <c r="K329" s="610"/>
      <c r="L329" s="6"/>
      <c r="M329" s="6"/>
      <c r="N329" s="6"/>
      <c r="O329" s="6"/>
      <c r="P329" s="6"/>
      <c r="Q329" s="6"/>
      <c r="R329" s="6"/>
      <c r="S329" s="6"/>
      <c r="T329" s="6"/>
      <c r="U329" s="7"/>
    </row>
    <row r="330" ht="13.75" customHeight="1">
      <c r="A330" s="5"/>
      <c r="B330" s="613"/>
      <c r="C330" s="609"/>
      <c r="D330" s="610"/>
      <c r="E330" s="610"/>
      <c r="F330" s="610"/>
      <c r="G330" s="610"/>
      <c r="H330" s="610"/>
      <c r="I330" s="610"/>
      <c r="J330" s="610"/>
      <c r="K330" s="610"/>
      <c r="L330" s="6"/>
      <c r="M330" s="6"/>
      <c r="N330" s="6"/>
      <c r="O330" s="6"/>
      <c r="P330" s="6"/>
      <c r="Q330" s="6"/>
      <c r="R330" s="6"/>
      <c r="S330" s="6"/>
      <c r="T330" s="6"/>
      <c r="U330" s="7"/>
    </row>
    <row r="331" ht="13.75" customHeight="1">
      <c r="A331" s="5"/>
      <c r="B331" s="613"/>
      <c r="C331" s="609"/>
      <c r="D331" s="610"/>
      <c r="E331" s="610"/>
      <c r="F331" s="610"/>
      <c r="G331" s="610"/>
      <c r="H331" s="610"/>
      <c r="I331" s="610"/>
      <c r="J331" s="610"/>
      <c r="K331" s="610"/>
      <c r="L331" s="6"/>
      <c r="M331" s="6"/>
      <c r="N331" s="6"/>
      <c r="O331" s="6"/>
      <c r="P331" s="6"/>
      <c r="Q331" s="6"/>
      <c r="R331" s="6"/>
      <c r="S331" s="6"/>
      <c r="T331" s="6"/>
      <c r="U331" s="7"/>
    </row>
    <row r="332" ht="13.75" customHeight="1">
      <c r="A332" s="5"/>
      <c r="B332" s="613"/>
      <c r="C332" s="609"/>
      <c r="D332" s="610"/>
      <c r="E332" s="610"/>
      <c r="F332" s="610"/>
      <c r="G332" s="610"/>
      <c r="H332" s="610"/>
      <c r="I332" s="610"/>
      <c r="J332" s="610"/>
      <c r="K332" s="610"/>
      <c r="L332" s="6"/>
      <c r="M332" s="6"/>
      <c r="N332" s="6"/>
      <c r="O332" s="6"/>
      <c r="P332" s="6"/>
      <c r="Q332" s="6"/>
      <c r="R332" s="6"/>
      <c r="S332" s="6"/>
      <c r="T332" s="6"/>
      <c r="U332" s="7"/>
    </row>
    <row r="333" ht="13.75" customHeight="1">
      <c r="A333" s="5"/>
      <c r="B333" s="613"/>
      <c r="C333" s="609"/>
      <c r="D333" s="610"/>
      <c r="E333" s="610"/>
      <c r="F333" s="610"/>
      <c r="G333" s="610"/>
      <c r="H333" s="610"/>
      <c r="I333" s="610"/>
      <c r="J333" s="610"/>
      <c r="K333" s="610"/>
      <c r="L333" s="6"/>
      <c r="M333" s="6"/>
      <c r="N333" s="6"/>
      <c r="O333" s="6"/>
      <c r="P333" s="6"/>
      <c r="Q333" s="6"/>
      <c r="R333" s="6"/>
      <c r="S333" s="6"/>
      <c r="T333" s="6"/>
      <c r="U333" s="7"/>
    </row>
    <row r="334" ht="13.75" customHeight="1">
      <c r="A334" s="5"/>
      <c r="B334" s="613"/>
      <c r="C334" s="609"/>
      <c r="D334" s="610"/>
      <c r="E334" s="610"/>
      <c r="F334" s="610"/>
      <c r="G334" s="610"/>
      <c r="H334" s="610"/>
      <c r="I334" s="610"/>
      <c r="J334" s="610"/>
      <c r="K334" s="610"/>
      <c r="L334" s="6"/>
      <c r="M334" s="6"/>
      <c r="N334" s="6"/>
      <c r="O334" s="6"/>
      <c r="P334" s="6"/>
      <c r="Q334" s="6"/>
      <c r="R334" s="6"/>
      <c r="S334" s="6"/>
      <c r="T334" s="6"/>
      <c r="U334" s="7"/>
    </row>
    <row r="335" ht="13.75" customHeight="1">
      <c r="A335" s="5"/>
      <c r="B335" s="613"/>
      <c r="C335" s="609"/>
      <c r="D335" s="610"/>
      <c r="E335" s="610"/>
      <c r="F335" s="610"/>
      <c r="G335" s="610"/>
      <c r="H335" s="610"/>
      <c r="I335" s="610"/>
      <c r="J335" s="610"/>
      <c r="K335" s="610"/>
      <c r="L335" s="6"/>
      <c r="M335" s="6"/>
      <c r="N335" s="6"/>
      <c r="O335" s="6"/>
      <c r="P335" s="6"/>
      <c r="Q335" s="6"/>
      <c r="R335" s="6"/>
      <c r="S335" s="6"/>
      <c r="T335" s="6"/>
      <c r="U335" s="7"/>
    </row>
    <row r="336" ht="13.75" customHeight="1">
      <c r="A336" s="5"/>
      <c r="B336" s="613"/>
      <c r="C336" s="609"/>
      <c r="D336" s="610"/>
      <c r="E336" s="610"/>
      <c r="F336" s="610"/>
      <c r="G336" s="610"/>
      <c r="H336" s="610"/>
      <c r="I336" s="610"/>
      <c r="J336" s="610"/>
      <c r="K336" s="610"/>
      <c r="L336" s="6"/>
      <c r="M336" s="6"/>
      <c r="N336" s="6"/>
      <c r="O336" s="6"/>
      <c r="P336" s="6"/>
      <c r="Q336" s="6"/>
      <c r="R336" s="6"/>
      <c r="S336" s="6"/>
      <c r="T336" s="6"/>
      <c r="U336" s="7"/>
    </row>
    <row r="337" ht="13.75" customHeight="1">
      <c r="A337" s="5"/>
      <c r="B337" s="613"/>
      <c r="C337" s="609"/>
      <c r="D337" s="610"/>
      <c r="E337" s="610"/>
      <c r="F337" s="610"/>
      <c r="G337" s="610"/>
      <c r="H337" s="610"/>
      <c r="I337" s="610"/>
      <c r="J337" s="610"/>
      <c r="K337" s="610"/>
      <c r="L337" s="6"/>
      <c r="M337" s="6"/>
      <c r="N337" s="6"/>
      <c r="O337" s="6"/>
      <c r="P337" s="6"/>
      <c r="Q337" s="6"/>
      <c r="R337" s="6"/>
      <c r="S337" s="6"/>
      <c r="T337" s="6"/>
      <c r="U337" s="7"/>
    </row>
    <row r="338" ht="13.75" customHeight="1">
      <c r="A338" s="5"/>
      <c r="B338" s="613"/>
      <c r="C338" s="609"/>
      <c r="D338" s="610"/>
      <c r="E338" s="610"/>
      <c r="F338" s="610"/>
      <c r="G338" s="610"/>
      <c r="H338" s="610"/>
      <c r="I338" s="610"/>
      <c r="J338" s="610"/>
      <c r="K338" s="610"/>
      <c r="L338" s="6"/>
      <c r="M338" s="6"/>
      <c r="N338" s="6"/>
      <c r="O338" s="6"/>
      <c r="P338" s="6"/>
      <c r="Q338" s="6"/>
      <c r="R338" s="6"/>
      <c r="S338" s="6"/>
      <c r="T338" s="6"/>
      <c r="U338" s="7"/>
    </row>
    <row r="339" ht="13.75" customHeight="1">
      <c r="A339" s="5"/>
      <c r="B339" s="613"/>
      <c r="C339" s="609"/>
      <c r="D339" s="610"/>
      <c r="E339" s="610"/>
      <c r="F339" s="610"/>
      <c r="G339" s="610"/>
      <c r="H339" s="610"/>
      <c r="I339" s="610"/>
      <c r="J339" s="610"/>
      <c r="K339" s="610"/>
      <c r="L339" s="6"/>
      <c r="M339" s="6"/>
      <c r="N339" s="6"/>
      <c r="O339" s="6"/>
      <c r="P339" s="6"/>
      <c r="Q339" s="6"/>
      <c r="R339" s="6"/>
      <c r="S339" s="6"/>
      <c r="T339" s="6"/>
      <c r="U339" s="7"/>
    </row>
    <row r="340" ht="13.75" customHeight="1">
      <c r="A340" s="5"/>
      <c r="B340" s="613"/>
      <c r="C340" s="609"/>
      <c r="D340" s="610"/>
      <c r="E340" s="610"/>
      <c r="F340" s="610"/>
      <c r="G340" s="610"/>
      <c r="H340" s="610"/>
      <c r="I340" s="610"/>
      <c r="J340" s="610"/>
      <c r="K340" s="610"/>
      <c r="L340" s="6"/>
      <c r="M340" s="6"/>
      <c r="N340" s="6"/>
      <c r="O340" s="6"/>
      <c r="P340" s="6"/>
      <c r="Q340" s="6"/>
      <c r="R340" s="6"/>
      <c r="S340" s="6"/>
      <c r="T340" s="6"/>
      <c r="U340" s="7"/>
    </row>
    <row r="341" ht="13.75" customHeight="1">
      <c r="A341" s="5"/>
      <c r="B341" s="613"/>
      <c r="C341" s="609"/>
      <c r="D341" s="610"/>
      <c r="E341" s="610"/>
      <c r="F341" s="610"/>
      <c r="G341" s="610"/>
      <c r="H341" s="610"/>
      <c r="I341" s="610"/>
      <c r="J341" s="610"/>
      <c r="K341" s="610"/>
      <c r="L341" s="6"/>
      <c r="M341" s="6"/>
      <c r="N341" s="6"/>
      <c r="O341" s="6"/>
      <c r="P341" s="6"/>
      <c r="Q341" s="6"/>
      <c r="R341" s="6"/>
      <c r="S341" s="6"/>
      <c r="T341" s="6"/>
      <c r="U341" s="7"/>
    </row>
    <row r="342" ht="13.75" customHeight="1">
      <c r="A342" s="5"/>
      <c r="B342" s="613"/>
      <c r="C342" s="609"/>
      <c r="D342" s="610"/>
      <c r="E342" s="610"/>
      <c r="F342" s="610"/>
      <c r="G342" s="610"/>
      <c r="H342" s="610"/>
      <c r="I342" s="610"/>
      <c r="J342" s="610"/>
      <c r="K342" s="610"/>
      <c r="L342" s="6"/>
      <c r="M342" s="6"/>
      <c r="N342" s="6"/>
      <c r="O342" s="6"/>
      <c r="P342" s="6"/>
      <c r="Q342" s="6"/>
      <c r="R342" s="6"/>
      <c r="S342" s="6"/>
      <c r="T342" s="6"/>
      <c r="U342" s="7"/>
    </row>
    <row r="343" ht="13.75" customHeight="1">
      <c r="A343" s="5"/>
      <c r="B343" s="613"/>
      <c r="C343" s="609"/>
      <c r="D343" s="610"/>
      <c r="E343" s="610"/>
      <c r="F343" s="610"/>
      <c r="G343" s="610"/>
      <c r="H343" s="610"/>
      <c r="I343" s="610"/>
      <c r="J343" s="610"/>
      <c r="K343" s="610"/>
      <c r="L343" s="6"/>
      <c r="M343" s="6"/>
      <c r="N343" s="6"/>
      <c r="O343" s="6"/>
      <c r="P343" s="6"/>
      <c r="Q343" s="6"/>
      <c r="R343" s="6"/>
      <c r="S343" s="6"/>
      <c r="T343" s="6"/>
      <c r="U343" s="7"/>
    </row>
    <row r="344" ht="13.75" customHeight="1">
      <c r="A344" s="5"/>
      <c r="B344" s="613"/>
      <c r="C344" s="609"/>
      <c r="D344" s="610"/>
      <c r="E344" s="610"/>
      <c r="F344" s="610"/>
      <c r="G344" s="610"/>
      <c r="H344" s="610"/>
      <c r="I344" s="610"/>
      <c r="J344" s="610"/>
      <c r="K344" s="610"/>
      <c r="L344" s="6"/>
      <c r="M344" s="6"/>
      <c r="N344" s="6"/>
      <c r="O344" s="6"/>
      <c r="P344" s="6"/>
      <c r="Q344" s="6"/>
      <c r="R344" s="6"/>
      <c r="S344" s="6"/>
      <c r="T344" s="6"/>
      <c r="U344" s="7"/>
    </row>
    <row r="345" ht="13.75" customHeight="1">
      <c r="A345" s="5"/>
      <c r="B345" s="613"/>
      <c r="C345" s="609"/>
      <c r="D345" s="610"/>
      <c r="E345" s="610"/>
      <c r="F345" s="610"/>
      <c r="G345" s="610"/>
      <c r="H345" s="610"/>
      <c r="I345" s="610"/>
      <c r="J345" s="610"/>
      <c r="K345" s="610"/>
      <c r="L345" s="6"/>
      <c r="M345" s="6"/>
      <c r="N345" s="6"/>
      <c r="O345" s="6"/>
      <c r="P345" s="6"/>
      <c r="Q345" s="6"/>
      <c r="R345" s="6"/>
      <c r="S345" s="6"/>
      <c r="T345" s="6"/>
      <c r="U345" s="7"/>
    </row>
    <row r="346" ht="13.75" customHeight="1">
      <c r="A346" s="5"/>
      <c r="B346" s="613"/>
      <c r="C346" s="609"/>
      <c r="D346" s="610"/>
      <c r="E346" s="610"/>
      <c r="F346" s="610"/>
      <c r="G346" s="610"/>
      <c r="H346" s="610"/>
      <c r="I346" s="610"/>
      <c r="J346" s="610"/>
      <c r="K346" s="610"/>
      <c r="L346" s="6"/>
      <c r="M346" s="6"/>
      <c r="N346" s="6"/>
      <c r="O346" s="6"/>
      <c r="P346" s="6"/>
      <c r="Q346" s="6"/>
      <c r="R346" s="6"/>
      <c r="S346" s="6"/>
      <c r="T346" s="6"/>
      <c r="U346" s="7"/>
    </row>
    <row r="347" ht="13.75" customHeight="1">
      <c r="A347" s="5"/>
      <c r="B347" s="613"/>
      <c r="C347" s="609"/>
      <c r="D347" s="610"/>
      <c r="E347" s="610"/>
      <c r="F347" s="610"/>
      <c r="G347" s="610"/>
      <c r="H347" s="610"/>
      <c r="I347" s="610"/>
      <c r="J347" s="610"/>
      <c r="K347" s="610"/>
      <c r="L347" s="6"/>
      <c r="M347" s="6"/>
      <c r="N347" s="6"/>
      <c r="O347" s="6"/>
      <c r="P347" s="6"/>
      <c r="Q347" s="6"/>
      <c r="R347" s="6"/>
      <c r="S347" s="6"/>
      <c r="T347" s="6"/>
      <c r="U347" s="7"/>
    </row>
    <row r="348" ht="13.75" customHeight="1">
      <c r="A348" s="5"/>
      <c r="B348" s="613"/>
      <c r="C348" s="609"/>
      <c r="D348" s="610"/>
      <c r="E348" s="610"/>
      <c r="F348" s="610"/>
      <c r="G348" s="610"/>
      <c r="H348" s="610"/>
      <c r="I348" s="610"/>
      <c r="J348" s="610"/>
      <c r="K348" s="610"/>
      <c r="L348" s="6"/>
      <c r="M348" s="6"/>
      <c r="N348" s="6"/>
      <c r="O348" s="6"/>
      <c r="P348" s="6"/>
      <c r="Q348" s="6"/>
      <c r="R348" s="6"/>
      <c r="S348" s="6"/>
      <c r="T348" s="6"/>
      <c r="U348" s="7"/>
    </row>
    <row r="349" ht="13.75" customHeight="1">
      <c r="A349" s="5"/>
      <c r="B349" s="613"/>
      <c r="C349" s="609"/>
      <c r="D349" s="610"/>
      <c r="E349" s="610"/>
      <c r="F349" s="610"/>
      <c r="G349" s="610"/>
      <c r="H349" s="610"/>
      <c r="I349" s="610"/>
      <c r="J349" s="610"/>
      <c r="K349" s="610"/>
      <c r="L349" s="6"/>
      <c r="M349" s="6"/>
      <c r="N349" s="6"/>
      <c r="O349" s="6"/>
      <c r="P349" s="6"/>
      <c r="Q349" s="6"/>
      <c r="R349" s="6"/>
      <c r="S349" s="6"/>
      <c r="T349" s="6"/>
      <c r="U349" s="7"/>
    </row>
    <row r="350" ht="13.75" customHeight="1">
      <c r="A350" s="5"/>
      <c r="B350" s="613"/>
      <c r="C350" s="609"/>
      <c r="D350" s="610"/>
      <c r="E350" s="610"/>
      <c r="F350" s="610"/>
      <c r="G350" s="610"/>
      <c r="H350" s="610"/>
      <c r="I350" s="610"/>
      <c r="J350" s="610"/>
      <c r="K350" s="610"/>
      <c r="L350" s="6"/>
      <c r="M350" s="6"/>
      <c r="N350" s="6"/>
      <c r="O350" s="6"/>
      <c r="P350" s="6"/>
      <c r="Q350" s="6"/>
      <c r="R350" s="6"/>
      <c r="S350" s="6"/>
      <c r="T350" s="6"/>
      <c r="U350" s="7"/>
    </row>
    <row r="351" ht="13.75" customHeight="1">
      <c r="A351" s="5"/>
      <c r="B351" s="613"/>
      <c r="C351" s="609"/>
      <c r="D351" s="610"/>
      <c r="E351" s="610"/>
      <c r="F351" s="610"/>
      <c r="G351" s="610"/>
      <c r="H351" s="610"/>
      <c r="I351" s="610"/>
      <c r="J351" s="610"/>
      <c r="K351" s="610"/>
      <c r="L351" s="6"/>
      <c r="M351" s="6"/>
      <c r="N351" s="6"/>
      <c r="O351" s="6"/>
      <c r="P351" s="6"/>
      <c r="Q351" s="6"/>
      <c r="R351" s="6"/>
      <c r="S351" s="6"/>
      <c r="T351" s="6"/>
      <c r="U351" s="7"/>
    </row>
    <row r="352" ht="13.75" customHeight="1">
      <c r="A352" s="5"/>
      <c r="B352" s="613"/>
      <c r="C352" s="609"/>
      <c r="D352" s="610"/>
      <c r="E352" s="610"/>
      <c r="F352" s="610"/>
      <c r="G352" s="610"/>
      <c r="H352" s="610"/>
      <c r="I352" s="610"/>
      <c r="J352" s="610"/>
      <c r="K352" s="610"/>
      <c r="L352" s="6"/>
      <c r="M352" s="6"/>
      <c r="N352" s="6"/>
      <c r="O352" s="6"/>
      <c r="P352" s="6"/>
      <c r="Q352" s="6"/>
      <c r="R352" s="6"/>
      <c r="S352" s="6"/>
      <c r="T352" s="6"/>
      <c r="U352" s="7"/>
    </row>
    <row r="353" ht="13.75" customHeight="1">
      <c r="A353" s="5"/>
      <c r="B353" s="613"/>
      <c r="C353" s="609"/>
      <c r="D353" s="610"/>
      <c r="E353" s="610"/>
      <c r="F353" s="610"/>
      <c r="G353" s="610"/>
      <c r="H353" s="610"/>
      <c r="I353" s="610"/>
      <c r="J353" s="610"/>
      <c r="K353" s="610"/>
      <c r="L353" s="6"/>
      <c r="M353" s="6"/>
      <c r="N353" s="6"/>
      <c r="O353" s="6"/>
      <c r="P353" s="6"/>
      <c r="Q353" s="6"/>
      <c r="R353" s="6"/>
      <c r="S353" s="6"/>
      <c r="T353" s="6"/>
      <c r="U353" s="7"/>
    </row>
    <row r="354" ht="13.75" customHeight="1">
      <c r="A354" s="5"/>
      <c r="B354" s="613"/>
      <c r="C354" s="609"/>
      <c r="D354" s="610"/>
      <c r="E354" s="610"/>
      <c r="F354" s="610"/>
      <c r="G354" s="610"/>
      <c r="H354" s="610"/>
      <c r="I354" s="610"/>
      <c r="J354" s="610"/>
      <c r="K354" s="610"/>
      <c r="L354" s="6"/>
      <c r="M354" s="6"/>
      <c r="N354" s="6"/>
      <c r="O354" s="6"/>
      <c r="P354" s="6"/>
      <c r="Q354" s="6"/>
      <c r="R354" s="6"/>
      <c r="S354" s="6"/>
      <c r="T354" s="6"/>
      <c r="U354" s="7"/>
    </row>
    <row r="355" ht="13.75" customHeight="1">
      <c r="A355" s="5"/>
      <c r="B355" s="613"/>
      <c r="C355" s="609"/>
      <c r="D355" s="610"/>
      <c r="E355" s="610"/>
      <c r="F355" s="610"/>
      <c r="G355" s="610"/>
      <c r="H355" s="610"/>
      <c r="I355" s="610"/>
      <c r="J355" s="610"/>
      <c r="K355" s="610"/>
      <c r="L355" s="6"/>
      <c r="M355" s="6"/>
      <c r="N355" s="6"/>
      <c r="O355" s="6"/>
      <c r="P355" s="6"/>
      <c r="Q355" s="6"/>
      <c r="R355" s="6"/>
      <c r="S355" s="6"/>
      <c r="T355" s="6"/>
      <c r="U355" s="7"/>
    </row>
    <row r="356" ht="13.75" customHeight="1">
      <c r="A356" s="5"/>
      <c r="B356" s="613"/>
      <c r="C356" s="609"/>
      <c r="D356" s="610"/>
      <c r="E356" s="610"/>
      <c r="F356" s="610"/>
      <c r="G356" s="610"/>
      <c r="H356" s="610"/>
      <c r="I356" s="610"/>
      <c r="J356" s="610"/>
      <c r="K356" s="610"/>
      <c r="L356" s="6"/>
      <c r="M356" s="6"/>
      <c r="N356" s="6"/>
      <c r="O356" s="6"/>
      <c r="P356" s="6"/>
      <c r="Q356" s="6"/>
      <c r="R356" s="6"/>
      <c r="S356" s="6"/>
      <c r="T356" s="6"/>
      <c r="U356" s="7"/>
    </row>
    <row r="357" ht="13.75" customHeight="1">
      <c r="A357" s="5"/>
      <c r="B357" s="613"/>
      <c r="C357" s="609"/>
      <c r="D357" s="610"/>
      <c r="E357" s="610"/>
      <c r="F357" s="610"/>
      <c r="G357" s="610"/>
      <c r="H357" s="610"/>
      <c r="I357" s="610"/>
      <c r="J357" s="610"/>
      <c r="K357" s="610"/>
      <c r="L357" s="6"/>
      <c r="M357" s="6"/>
      <c r="N357" s="6"/>
      <c r="O357" s="6"/>
      <c r="P357" s="6"/>
      <c r="Q357" s="6"/>
      <c r="R357" s="6"/>
      <c r="S357" s="6"/>
      <c r="T357" s="6"/>
      <c r="U357" s="7"/>
    </row>
    <row r="358" ht="13.75" customHeight="1">
      <c r="A358" s="5"/>
      <c r="B358" s="613"/>
      <c r="C358" s="609"/>
      <c r="D358" s="610"/>
      <c r="E358" s="610"/>
      <c r="F358" s="610"/>
      <c r="G358" s="610"/>
      <c r="H358" s="610"/>
      <c r="I358" s="610"/>
      <c r="J358" s="610"/>
      <c r="K358" s="610"/>
      <c r="L358" s="6"/>
      <c r="M358" s="6"/>
      <c r="N358" s="6"/>
      <c r="O358" s="6"/>
      <c r="P358" s="6"/>
      <c r="Q358" s="6"/>
      <c r="R358" s="6"/>
      <c r="S358" s="6"/>
      <c r="T358" s="6"/>
      <c r="U358" s="7"/>
    </row>
    <row r="359" ht="13.75" customHeight="1">
      <c r="A359" s="5"/>
      <c r="B359" s="613"/>
      <c r="C359" s="609"/>
      <c r="D359" s="610"/>
      <c r="E359" s="610"/>
      <c r="F359" s="610"/>
      <c r="G359" s="610"/>
      <c r="H359" s="610"/>
      <c r="I359" s="610"/>
      <c r="J359" s="610"/>
      <c r="K359" s="610"/>
      <c r="L359" s="6"/>
      <c r="M359" s="6"/>
      <c r="N359" s="6"/>
      <c r="O359" s="6"/>
      <c r="P359" s="6"/>
      <c r="Q359" s="6"/>
      <c r="R359" s="6"/>
      <c r="S359" s="6"/>
      <c r="T359" s="6"/>
      <c r="U359" s="7"/>
    </row>
    <row r="360" ht="13.75" customHeight="1">
      <c r="A360" s="5"/>
      <c r="B360" s="613"/>
      <c r="C360" s="609"/>
      <c r="D360" s="610"/>
      <c r="E360" s="610"/>
      <c r="F360" s="610"/>
      <c r="G360" s="610"/>
      <c r="H360" s="610"/>
      <c r="I360" s="610"/>
      <c r="J360" s="610"/>
      <c r="K360" s="610"/>
      <c r="L360" s="6"/>
      <c r="M360" s="6"/>
      <c r="N360" s="6"/>
      <c r="O360" s="6"/>
      <c r="P360" s="6"/>
      <c r="Q360" s="6"/>
      <c r="R360" s="6"/>
      <c r="S360" s="6"/>
      <c r="T360" s="6"/>
      <c r="U360" s="7"/>
    </row>
    <row r="361" ht="13.75" customHeight="1">
      <c r="A361" s="5"/>
      <c r="B361" s="613"/>
      <c r="C361" s="609"/>
      <c r="D361" s="610"/>
      <c r="E361" s="610"/>
      <c r="F361" s="610"/>
      <c r="G361" s="610"/>
      <c r="H361" s="610"/>
      <c r="I361" s="610"/>
      <c r="J361" s="610"/>
      <c r="K361" s="610"/>
      <c r="L361" s="6"/>
      <c r="M361" s="6"/>
      <c r="N361" s="6"/>
      <c r="O361" s="6"/>
      <c r="P361" s="6"/>
      <c r="Q361" s="6"/>
      <c r="R361" s="6"/>
      <c r="S361" s="6"/>
      <c r="T361" s="6"/>
      <c r="U361" s="7"/>
    </row>
    <row r="362" ht="13.75" customHeight="1">
      <c r="A362" s="5"/>
      <c r="B362" s="613"/>
      <c r="C362" s="609"/>
      <c r="D362" s="610"/>
      <c r="E362" s="610"/>
      <c r="F362" s="610"/>
      <c r="G362" s="610"/>
      <c r="H362" s="610"/>
      <c r="I362" s="610"/>
      <c r="J362" s="610"/>
      <c r="K362" s="610"/>
      <c r="L362" s="6"/>
      <c r="M362" s="6"/>
      <c r="N362" s="6"/>
      <c r="O362" s="6"/>
      <c r="P362" s="6"/>
      <c r="Q362" s="6"/>
      <c r="R362" s="6"/>
      <c r="S362" s="6"/>
      <c r="T362" s="6"/>
      <c r="U362" s="7"/>
    </row>
    <row r="363" ht="13.75" customHeight="1">
      <c r="A363" s="5"/>
      <c r="B363" s="613"/>
      <c r="C363" s="609"/>
      <c r="D363" s="610"/>
      <c r="E363" s="610"/>
      <c r="F363" s="610"/>
      <c r="G363" s="610"/>
      <c r="H363" s="610"/>
      <c r="I363" s="610"/>
      <c r="J363" s="610"/>
      <c r="K363" s="610"/>
      <c r="L363" s="6"/>
      <c r="M363" s="6"/>
      <c r="N363" s="6"/>
      <c r="O363" s="6"/>
      <c r="P363" s="6"/>
      <c r="Q363" s="6"/>
      <c r="R363" s="6"/>
      <c r="S363" s="6"/>
      <c r="T363" s="6"/>
      <c r="U363" s="7"/>
    </row>
    <row r="364" ht="13.75" customHeight="1">
      <c r="A364" s="5"/>
      <c r="B364" s="613"/>
      <c r="C364" s="609"/>
      <c r="D364" s="610"/>
      <c r="E364" s="610"/>
      <c r="F364" s="610"/>
      <c r="G364" s="610"/>
      <c r="H364" s="610"/>
      <c r="I364" s="610"/>
      <c r="J364" s="610"/>
      <c r="K364" s="610"/>
      <c r="L364" s="6"/>
      <c r="M364" s="6"/>
      <c r="N364" s="6"/>
      <c r="O364" s="6"/>
      <c r="P364" s="6"/>
      <c r="Q364" s="6"/>
      <c r="R364" s="6"/>
      <c r="S364" s="6"/>
      <c r="T364" s="6"/>
      <c r="U364" s="7"/>
    </row>
    <row r="365" ht="13.75" customHeight="1">
      <c r="A365" s="5"/>
      <c r="B365" s="613"/>
      <c r="C365" s="609"/>
      <c r="D365" s="610"/>
      <c r="E365" s="610"/>
      <c r="F365" s="610"/>
      <c r="G365" s="610"/>
      <c r="H365" s="610"/>
      <c r="I365" s="610"/>
      <c r="J365" s="610"/>
      <c r="K365" s="610"/>
      <c r="L365" s="6"/>
      <c r="M365" s="6"/>
      <c r="N365" s="6"/>
      <c r="O365" s="6"/>
      <c r="P365" s="6"/>
      <c r="Q365" s="6"/>
      <c r="R365" s="6"/>
      <c r="S365" s="6"/>
      <c r="T365" s="6"/>
      <c r="U365" s="7"/>
    </row>
    <row r="366" ht="13.75" customHeight="1">
      <c r="A366" s="5"/>
      <c r="B366" s="613"/>
      <c r="C366" s="609"/>
      <c r="D366" s="610"/>
      <c r="E366" s="610"/>
      <c r="F366" s="610"/>
      <c r="G366" s="610"/>
      <c r="H366" s="610"/>
      <c r="I366" s="610"/>
      <c r="J366" s="610"/>
      <c r="K366" s="610"/>
      <c r="L366" s="6"/>
      <c r="M366" s="6"/>
      <c r="N366" s="6"/>
      <c r="O366" s="6"/>
      <c r="P366" s="6"/>
      <c r="Q366" s="6"/>
      <c r="R366" s="6"/>
      <c r="S366" s="6"/>
      <c r="T366" s="6"/>
      <c r="U366" s="7"/>
    </row>
    <row r="367" ht="13.75" customHeight="1">
      <c r="A367" s="5"/>
      <c r="B367" s="613"/>
      <c r="C367" s="609"/>
      <c r="D367" s="610"/>
      <c r="E367" s="610"/>
      <c r="F367" s="610"/>
      <c r="G367" s="610"/>
      <c r="H367" s="610"/>
      <c r="I367" s="610"/>
      <c r="J367" s="610"/>
      <c r="K367" s="610"/>
      <c r="L367" s="6"/>
      <c r="M367" s="6"/>
      <c r="N367" s="6"/>
      <c r="O367" s="6"/>
      <c r="P367" s="6"/>
      <c r="Q367" s="6"/>
      <c r="R367" s="6"/>
      <c r="S367" s="6"/>
      <c r="T367" s="6"/>
      <c r="U367" s="7"/>
    </row>
    <row r="368" ht="13.75" customHeight="1">
      <c r="A368" s="5"/>
      <c r="B368" s="613"/>
      <c r="C368" s="609"/>
      <c r="D368" s="610"/>
      <c r="E368" s="610"/>
      <c r="F368" s="610"/>
      <c r="G368" s="610"/>
      <c r="H368" s="610"/>
      <c r="I368" s="610"/>
      <c r="J368" s="610"/>
      <c r="K368" s="610"/>
      <c r="L368" s="6"/>
      <c r="M368" s="6"/>
      <c r="N368" s="6"/>
      <c r="O368" s="6"/>
      <c r="P368" s="6"/>
      <c r="Q368" s="6"/>
      <c r="R368" s="6"/>
      <c r="S368" s="6"/>
      <c r="T368" s="6"/>
      <c r="U368" s="7"/>
    </row>
    <row r="369" ht="13.75" customHeight="1">
      <c r="A369" s="5"/>
      <c r="B369" s="613"/>
      <c r="C369" s="609"/>
      <c r="D369" s="610"/>
      <c r="E369" s="610"/>
      <c r="F369" s="610"/>
      <c r="G369" s="610"/>
      <c r="H369" s="610"/>
      <c r="I369" s="610"/>
      <c r="J369" s="610"/>
      <c r="K369" s="610"/>
      <c r="L369" s="6"/>
      <c r="M369" s="6"/>
      <c r="N369" s="6"/>
      <c r="O369" s="6"/>
      <c r="P369" s="6"/>
      <c r="Q369" s="6"/>
      <c r="R369" s="6"/>
      <c r="S369" s="6"/>
      <c r="T369" s="6"/>
      <c r="U369" s="7"/>
    </row>
    <row r="370" ht="13.75" customHeight="1">
      <c r="A370" s="5"/>
      <c r="B370" s="613"/>
      <c r="C370" s="609"/>
      <c r="D370" s="610"/>
      <c r="E370" s="610"/>
      <c r="F370" s="610"/>
      <c r="G370" s="610"/>
      <c r="H370" s="610"/>
      <c r="I370" s="610"/>
      <c r="J370" s="610"/>
      <c r="K370" s="610"/>
      <c r="L370" s="6"/>
      <c r="M370" s="6"/>
      <c r="N370" s="6"/>
      <c r="O370" s="6"/>
      <c r="P370" s="6"/>
      <c r="Q370" s="6"/>
      <c r="R370" s="6"/>
      <c r="S370" s="6"/>
      <c r="T370" s="6"/>
      <c r="U370" s="7"/>
    </row>
    <row r="371" ht="13.75" customHeight="1">
      <c r="A371" s="5"/>
      <c r="B371" s="613"/>
      <c r="C371" s="609"/>
      <c r="D371" s="610"/>
      <c r="E371" s="610"/>
      <c r="F371" s="610"/>
      <c r="G371" s="610"/>
      <c r="H371" s="610"/>
      <c r="I371" s="610"/>
      <c r="J371" s="610"/>
      <c r="K371" s="610"/>
      <c r="L371" s="6"/>
      <c r="M371" s="6"/>
      <c r="N371" s="6"/>
      <c r="O371" s="6"/>
      <c r="P371" s="6"/>
      <c r="Q371" s="6"/>
      <c r="R371" s="6"/>
      <c r="S371" s="6"/>
      <c r="T371" s="6"/>
      <c r="U371" s="7"/>
    </row>
    <row r="372" ht="13.75" customHeight="1">
      <c r="A372" s="5"/>
      <c r="B372" s="613"/>
      <c r="C372" s="609"/>
      <c r="D372" s="610"/>
      <c r="E372" s="610"/>
      <c r="F372" s="610"/>
      <c r="G372" s="610"/>
      <c r="H372" s="610"/>
      <c r="I372" s="610"/>
      <c r="J372" s="610"/>
      <c r="K372" s="610"/>
      <c r="L372" s="6"/>
      <c r="M372" s="6"/>
      <c r="N372" s="6"/>
      <c r="O372" s="6"/>
      <c r="P372" s="6"/>
      <c r="Q372" s="6"/>
      <c r="R372" s="6"/>
      <c r="S372" s="6"/>
      <c r="T372" s="6"/>
      <c r="U372" s="7"/>
    </row>
    <row r="373" ht="13.75" customHeight="1">
      <c r="A373" s="5"/>
      <c r="B373" s="613"/>
      <c r="C373" s="609"/>
      <c r="D373" s="610"/>
      <c r="E373" s="610"/>
      <c r="F373" s="610"/>
      <c r="G373" s="610"/>
      <c r="H373" s="610"/>
      <c r="I373" s="610"/>
      <c r="J373" s="610"/>
      <c r="K373" s="610"/>
      <c r="L373" s="6"/>
      <c r="M373" s="6"/>
      <c r="N373" s="6"/>
      <c r="O373" s="6"/>
      <c r="P373" s="6"/>
      <c r="Q373" s="6"/>
      <c r="R373" s="6"/>
      <c r="S373" s="6"/>
      <c r="T373" s="6"/>
      <c r="U373" s="7"/>
    </row>
    <row r="374" ht="13.75" customHeight="1">
      <c r="A374" s="5"/>
      <c r="B374" s="613"/>
      <c r="C374" s="609"/>
      <c r="D374" s="610"/>
      <c r="E374" s="610"/>
      <c r="F374" s="610"/>
      <c r="G374" s="610"/>
      <c r="H374" s="610"/>
      <c r="I374" s="610"/>
      <c r="J374" s="610"/>
      <c r="K374" s="610"/>
      <c r="L374" s="6"/>
      <c r="M374" s="6"/>
      <c r="N374" s="6"/>
      <c r="O374" s="6"/>
      <c r="P374" s="6"/>
      <c r="Q374" s="6"/>
      <c r="R374" s="6"/>
      <c r="S374" s="6"/>
      <c r="T374" s="6"/>
      <c r="U374" s="7"/>
    </row>
    <row r="375" ht="13.75" customHeight="1">
      <c r="A375" s="5"/>
      <c r="B375" s="613"/>
      <c r="C375" s="609"/>
      <c r="D375" s="610"/>
      <c r="E375" s="610"/>
      <c r="F375" s="610"/>
      <c r="G375" s="610"/>
      <c r="H375" s="610"/>
      <c r="I375" s="610"/>
      <c r="J375" s="610"/>
      <c r="K375" s="610"/>
      <c r="L375" s="6"/>
      <c r="M375" s="6"/>
      <c r="N375" s="6"/>
      <c r="O375" s="6"/>
      <c r="P375" s="6"/>
      <c r="Q375" s="6"/>
      <c r="R375" s="6"/>
      <c r="S375" s="6"/>
      <c r="T375" s="6"/>
      <c r="U375" s="7"/>
    </row>
    <row r="376" ht="13.75" customHeight="1">
      <c r="A376" s="5"/>
      <c r="B376" s="613"/>
      <c r="C376" s="609"/>
      <c r="D376" s="610"/>
      <c r="E376" s="610"/>
      <c r="F376" s="610"/>
      <c r="G376" s="610"/>
      <c r="H376" s="610"/>
      <c r="I376" s="610"/>
      <c r="J376" s="610"/>
      <c r="K376" s="610"/>
      <c r="L376" s="6"/>
      <c r="M376" s="6"/>
      <c r="N376" s="6"/>
      <c r="O376" s="6"/>
      <c r="P376" s="6"/>
      <c r="Q376" s="6"/>
      <c r="R376" s="6"/>
      <c r="S376" s="6"/>
      <c r="T376" s="6"/>
      <c r="U376" s="7"/>
    </row>
    <row r="377" ht="13.75" customHeight="1">
      <c r="A377" s="5"/>
      <c r="B377" s="613"/>
      <c r="C377" s="609"/>
      <c r="D377" s="610"/>
      <c r="E377" s="610"/>
      <c r="F377" s="610"/>
      <c r="G377" s="610"/>
      <c r="H377" s="610"/>
      <c r="I377" s="610"/>
      <c r="J377" s="610"/>
      <c r="K377" s="610"/>
      <c r="L377" s="6"/>
      <c r="M377" s="6"/>
      <c r="N377" s="6"/>
      <c r="O377" s="6"/>
      <c r="P377" s="6"/>
      <c r="Q377" s="6"/>
      <c r="R377" s="6"/>
      <c r="S377" s="6"/>
      <c r="T377" s="6"/>
      <c r="U377" s="7"/>
    </row>
    <row r="378" ht="13.75" customHeight="1">
      <c r="A378" s="5"/>
      <c r="B378" s="613"/>
      <c r="C378" s="609"/>
      <c r="D378" s="610"/>
      <c r="E378" s="610"/>
      <c r="F378" s="610"/>
      <c r="G378" s="610"/>
      <c r="H378" s="610"/>
      <c r="I378" s="610"/>
      <c r="J378" s="610"/>
      <c r="K378" s="610"/>
      <c r="L378" s="6"/>
      <c r="M378" s="6"/>
      <c r="N378" s="6"/>
      <c r="O378" s="6"/>
      <c r="P378" s="6"/>
      <c r="Q378" s="6"/>
      <c r="R378" s="6"/>
      <c r="S378" s="6"/>
      <c r="T378" s="6"/>
      <c r="U378" s="7"/>
    </row>
    <row r="379" ht="13.75" customHeight="1">
      <c r="A379" s="5"/>
      <c r="B379" s="613"/>
      <c r="C379" s="609"/>
      <c r="D379" s="610"/>
      <c r="E379" s="610"/>
      <c r="F379" s="610"/>
      <c r="G379" s="610"/>
      <c r="H379" s="610"/>
      <c r="I379" s="610"/>
      <c r="J379" s="610"/>
      <c r="K379" s="610"/>
      <c r="L379" s="6"/>
      <c r="M379" s="6"/>
      <c r="N379" s="6"/>
      <c r="O379" s="6"/>
      <c r="P379" s="6"/>
      <c r="Q379" s="6"/>
      <c r="R379" s="6"/>
      <c r="S379" s="6"/>
      <c r="T379" s="6"/>
      <c r="U379" s="7"/>
    </row>
    <row r="380" ht="13.75" customHeight="1">
      <c r="A380" s="5"/>
      <c r="B380" s="613"/>
      <c r="C380" s="609"/>
      <c r="D380" s="610"/>
      <c r="E380" s="610"/>
      <c r="F380" s="610"/>
      <c r="G380" s="610"/>
      <c r="H380" s="610"/>
      <c r="I380" s="610"/>
      <c r="J380" s="610"/>
      <c r="K380" s="610"/>
      <c r="L380" s="6"/>
      <c r="M380" s="6"/>
      <c r="N380" s="6"/>
      <c r="O380" s="6"/>
      <c r="P380" s="6"/>
      <c r="Q380" s="6"/>
      <c r="R380" s="6"/>
      <c r="S380" s="6"/>
      <c r="T380" s="6"/>
      <c r="U380" s="7"/>
    </row>
    <row r="381" ht="13.75" customHeight="1">
      <c r="A381" s="5"/>
      <c r="B381" s="613"/>
      <c r="C381" s="609"/>
      <c r="D381" s="610"/>
      <c r="E381" s="610"/>
      <c r="F381" s="610"/>
      <c r="G381" s="610"/>
      <c r="H381" s="610"/>
      <c r="I381" s="610"/>
      <c r="J381" s="610"/>
      <c r="K381" s="610"/>
      <c r="L381" s="6"/>
      <c r="M381" s="6"/>
      <c r="N381" s="6"/>
      <c r="O381" s="6"/>
      <c r="P381" s="6"/>
      <c r="Q381" s="6"/>
      <c r="R381" s="6"/>
      <c r="S381" s="6"/>
      <c r="T381" s="6"/>
      <c r="U381" s="7"/>
    </row>
    <row r="382" ht="13.75" customHeight="1">
      <c r="A382" s="5"/>
      <c r="B382" s="613"/>
      <c r="C382" s="609"/>
      <c r="D382" s="610"/>
      <c r="E382" s="610"/>
      <c r="F382" s="610"/>
      <c r="G382" s="610"/>
      <c r="H382" s="610"/>
      <c r="I382" s="610"/>
      <c r="J382" s="610"/>
      <c r="K382" s="610"/>
      <c r="L382" s="6"/>
      <c r="M382" s="6"/>
      <c r="N382" s="6"/>
      <c r="O382" s="6"/>
      <c r="P382" s="6"/>
      <c r="Q382" s="6"/>
      <c r="R382" s="6"/>
      <c r="S382" s="6"/>
      <c r="T382" s="6"/>
      <c r="U382" s="7"/>
    </row>
    <row r="383" ht="13.75" customHeight="1">
      <c r="A383" s="5"/>
      <c r="B383" s="613"/>
      <c r="C383" s="609"/>
      <c r="D383" s="610"/>
      <c r="E383" s="610"/>
      <c r="F383" s="610"/>
      <c r="G383" s="610"/>
      <c r="H383" s="610"/>
      <c r="I383" s="610"/>
      <c r="J383" s="610"/>
      <c r="K383" s="610"/>
      <c r="L383" s="6"/>
      <c r="M383" s="6"/>
      <c r="N383" s="6"/>
      <c r="O383" s="6"/>
      <c r="P383" s="6"/>
      <c r="Q383" s="6"/>
      <c r="R383" s="6"/>
      <c r="S383" s="6"/>
      <c r="T383" s="6"/>
      <c r="U383" s="7"/>
    </row>
    <row r="384" ht="13.75" customHeight="1">
      <c r="A384" s="5"/>
      <c r="B384" s="613"/>
      <c r="C384" s="609"/>
      <c r="D384" s="610"/>
      <c r="E384" s="610"/>
      <c r="F384" s="610"/>
      <c r="G384" s="610"/>
      <c r="H384" s="610"/>
      <c r="I384" s="610"/>
      <c r="J384" s="610"/>
      <c r="K384" s="610"/>
      <c r="L384" s="6"/>
      <c r="M384" s="6"/>
      <c r="N384" s="6"/>
      <c r="O384" s="6"/>
      <c r="P384" s="6"/>
      <c r="Q384" s="6"/>
      <c r="R384" s="6"/>
      <c r="S384" s="6"/>
      <c r="T384" s="6"/>
      <c r="U384" s="7"/>
    </row>
    <row r="385" ht="13.75" customHeight="1">
      <c r="A385" s="5"/>
      <c r="B385" s="613"/>
      <c r="C385" s="609"/>
      <c r="D385" s="610"/>
      <c r="E385" s="610"/>
      <c r="F385" s="610"/>
      <c r="G385" s="610"/>
      <c r="H385" s="610"/>
      <c r="I385" s="610"/>
      <c r="J385" s="610"/>
      <c r="K385" s="610"/>
      <c r="L385" s="6"/>
      <c r="M385" s="6"/>
      <c r="N385" s="6"/>
      <c r="O385" s="6"/>
      <c r="P385" s="6"/>
      <c r="Q385" s="6"/>
      <c r="R385" s="6"/>
      <c r="S385" s="6"/>
      <c r="T385" s="6"/>
      <c r="U385" s="7"/>
    </row>
    <row r="386" ht="13.75" customHeight="1">
      <c r="A386" s="5"/>
      <c r="B386" s="613"/>
      <c r="C386" s="609"/>
      <c r="D386" s="610"/>
      <c r="E386" s="610"/>
      <c r="F386" s="610"/>
      <c r="G386" s="610"/>
      <c r="H386" s="610"/>
      <c r="I386" s="610"/>
      <c r="J386" s="610"/>
      <c r="K386" s="610"/>
      <c r="L386" s="6"/>
      <c r="M386" s="6"/>
      <c r="N386" s="6"/>
      <c r="O386" s="6"/>
      <c r="P386" s="6"/>
      <c r="Q386" s="6"/>
      <c r="R386" s="6"/>
      <c r="S386" s="6"/>
      <c r="T386" s="6"/>
      <c r="U386" s="7"/>
    </row>
    <row r="387" ht="13.75" customHeight="1">
      <c r="A387" s="5"/>
      <c r="B387" s="613"/>
      <c r="C387" s="609"/>
      <c r="D387" s="610"/>
      <c r="E387" s="610"/>
      <c r="F387" s="610"/>
      <c r="G387" s="610"/>
      <c r="H387" s="610"/>
      <c r="I387" s="610"/>
      <c r="J387" s="610"/>
      <c r="K387" s="610"/>
      <c r="L387" s="6"/>
      <c r="M387" s="6"/>
      <c r="N387" s="6"/>
      <c r="O387" s="6"/>
      <c r="P387" s="6"/>
      <c r="Q387" s="6"/>
      <c r="R387" s="6"/>
      <c r="S387" s="6"/>
      <c r="T387" s="6"/>
      <c r="U387" s="7"/>
    </row>
    <row r="388" ht="13.75" customHeight="1">
      <c r="A388" s="5"/>
      <c r="B388" s="613"/>
      <c r="C388" s="609"/>
      <c r="D388" s="610"/>
      <c r="E388" s="610"/>
      <c r="F388" s="610"/>
      <c r="G388" s="610"/>
      <c r="H388" s="610"/>
      <c r="I388" s="610"/>
      <c r="J388" s="610"/>
      <c r="K388" s="610"/>
      <c r="L388" s="6"/>
      <c r="M388" s="6"/>
      <c r="N388" s="6"/>
      <c r="O388" s="6"/>
      <c r="P388" s="6"/>
      <c r="Q388" s="6"/>
      <c r="R388" s="6"/>
      <c r="S388" s="6"/>
      <c r="T388" s="6"/>
      <c r="U388" s="7"/>
    </row>
    <row r="389" ht="13.75" customHeight="1">
      <c r="A389" s="5"/>
      <c r="B389" s="613"/>
      <c r="C389" s="609"/>
      <c r="D389" s="610"/>
      <c r="E389" s="610"/>
      <c r="F389" s="610"/>
      <c r="G389" s="610"/>
      <c r="H389" s="610"/>
      <c r="I389" s="610"/>
      <c r="J389" s="610"/>
      <c r="K389" s="610"/>
      <c r="L389" s="6"/>
      <c r="M389" s="6"/>
      <c r="N389" s="6"/>
      <c r="O389" s="6"/>
      <c r="P389" s="6"/>
      <c r="Q389" s="6"/>
      <c r="R389" s="6"/>
      <c r="S389" s="6"/>
      <c r="T389" s="6"/>
      <c r="U389" s="7"/>
    </row>
    <row r="390" ht="13.75" customHeight="1">
      <c r="A390" s="5"/>
      <c r="B390" s="613"/>
      <c r="C390" s="609"/>
      <c r="D390" s="610"/>
      <c r="E390" s="610"/>
      <c r="F390" s="610"/>
      <c r="G390" s="610"/>
      <c r="H390" s="610"/>
      <c r="I390" s="610"/>
      <c r="J390" s="610"/>
      <c r="K390" s="610"/>
      <c r="L390" s="6"/>
      <c r="M390" s="6"/>
      <c r="N390" s="6"/>
      <c r="O390" s="6"/>
      <c r="P390" s="6"/>
      <c r="Q390" s="6"/>
      <c r="R390" s="6"/>
      <c r="S390" s="6"/>
      <c r="T390" s="6"/>
      <c r="U390" s="7"/>
    </row>
    <row r="391" ht="13.75" customHeight="1">
      <c r="A391" s="5"/>
      <c r="B391" s="613"/>
      <c r="C391" s="609"/>
      <c r="D391" s="610"/>
      <c r="E391" s="610"/>
      <c r="F391" s="610"/>
      <c r="G391" s="610"/>
      <c r="H391" s="610"/>
      <c r="I391" s="610"/>
      <c r="J391" s="610"/>
      <c r="K391" s="610"/>
      <c r="L391" s="6"/>
      <c r="M391" s="6"/>
      <c r="N391" s="6"/>
      <c r="O391" s="6"/>
      <c r="P391" s="6"/>
      <c r="Q391" s="6"/>
      <c r="R391" s="6"/>
      <c r="S391" s="6"/>
      <c r="T391" s="6"/>
      <c r="U391" s="7"/>
    </row>
    <row r="392" ht="13.75" customHeight="1">
      <c r="A392" s="5"/>
      <c r="B392" s="613"/>
      <c r="C392" s="609"/>
      <c r="D392" s="610"/>
      <c r="E392" s="610"/>
      <c r="F392" s="610"/>
      <c r="G392" s="610"/>
      <c r="H392" s="610"/>
      <c r="I392" s="610"/>
      <c r="J392" s="610"/>
      <c r="K392" s="610"/>
      <c r="L392" s="6"/>
      <c r="M392" s="6"/>
      <c r="N392" s="6"/>
      <c r="O392" s="6"/>
      <c r="P392" s="6"/>
      <c r="Q392" s="6"/>
      <c r="R392" s="6"/>
      <c r="S392" s="6"/>
      <c r="T392" s="6"/>
      <c r="U392" s="7"/>
    </row>
    <row r="393" ht="13.75" customHeight="1">
      <c r="A393" s="5"/>
      <c r="B393" s="613"/>
      <c r="C393" s="609"/>
      <c r="D393" s="610"/>
      <c r="E393" s="610"/>
      <c r="F393" s="610"/>
      <c r="G393" s="610"/>
      <c r="H393" s="610"/>
      <c r="I393" s="610"/>
      <c r="J393" s="610"/>
      <c r="K393" s="610"/>
      <c r="L393" s="6"/>
      <c r="M393" s="6"/>
      <c r="N393" s="6"/>
      <c r="O393" s="6"/>
      <c r="P393" s="6"/>
      <c r="Q393" s="6"/>
      <c r="R393" s="6"/>
      <c r="S393" s="6"/>
      <c r="T393" s="6"/>
      <c r="U393" s="7"/>
    </row>
    <row r="394" ht="13.75" customHeight="1">
      <c r="A394" s="5"/>
      <c r="B394" s="613"/>
      <c r="C394" s="609"/>
      <c r="D394" s="610"/>
      <c r="E394" s="610"/>
      <c r="F394" s="610"/>
      <c r="G394" s="610"/>
      <c r="H394" s="610"/>
      <c r="I394" s="610"/>
      <c r="J394" s="610"/>
      <c r="K394" s="610"/>
      <c r="L394" s="6"/>
      <c r="M394" s="6"/>
      <c r="N394" s="6"/>
      <c r="O394" s="6"/>
      <c r="P394" s="6"/>
      <c r="Q394" s="6"/>
      <c r="R394" s="6"/>
      <c r="S394" s="6"/>
      <c r="T394" s="6"/>
      <c r="U394" s="7"/>
    </row>
    <row r="395" ht="13.75" customHeight="1">
      <c r="A395" s="5"/>
      <c r="B395" s="613"/>
      <c r="C395" s="609"/>
      <c r="D395" s="610"/>
      <c r="E395" s="610"/>
      <c r="F395" s="610"/>
      <c r="G395" s="610"/>
      <c r="H395" s="610"/>
      <c r="I395" s="610"/>
      <c r="J395" s="610"/>
      <c r="K395" s="610"/>
      <c r="L395" s="6"/>
      <c r="M395" s="6"/>
      <c r="N395" s="6"/>
      <c r="O395" s="6"/>
      <c r="P395" s="6"/>
      <c r="Q395" s="6"/>
      <c r="R395" s="6"/>
      <c r="S395" s="6"/>
      <c r="T395" s="6"/>
      <c r="U395" s="7"/>
    </row>
    <row r="396" ht="13.75" customHeight="1">
      <c r="A396" s="5"/>
      <c r="B396" s="613"/>
      <c r="C396" s="609"/>
      <c r="D396" s="610"/>
      <c r="E396" s="610"/>
      <c r="F396" s="610"/>
      <c r="G396" s="610"/>
      <c r="H396" s="610"/>
      <c r="I396" s="610"/>
      <c r="J396" s="610"/>
      <c r="K396" s="610"/>
      <c r="L396" s="6"/>
      <c r="M396" s="6"/>
      <c r="N396" s="6"/>
      <c r="O396" s="6"/>
      <c r="P396" s="6"/>
      <c r="Q396" s="6"/>
      <c r="R396" s="6"/>
      <c r="S396" s="6"/>
      <c r="T396" s="6"/>
      <c r="U396" s="7"/>
    </row>
    <row r="397" ht="13.75" customHeight="1">
      <c r="A397" s="5"/>
      <c r="B397" s="613"/>
      <c r="C397" s="609"/>
      <c r="D397" s="610"/>
      <c r="E397" s="610"/>
      <c r="F397" s="610"/>
      <c r="G397" s="610"/>
      <c r="H397" s="610"/>
      <c r="I397" s="610"/>
      <c r="J397" s="610"/>
      <c r="K397" s="610"/>
      <c r="L397" s="6"/>
      <c r="M397" s="6"/>
      <c r="N397" s="6"/>
      <c r="O397" s="6"/>
      <c r="P397" s="6"/>
      <c r="Q397" s="6"/>
      <c r="R397" s="6"/>
      <c r="S397" s="6"/>
      <c r="T397" s="6"/>
      <c r="U397" s="7"/>
    </row>
    <row r="398" ht="13.75" customHeight="1">
      <c r="A398" s="5"/>
      <c r="B398" s="613"/>
      <c r="C398" s="609"/>
      <c r="D398" s="610"/>
      <c r="E398" s="610"/>
      <c r="F398" s="610"/>
      <c r="G398" s="610"/>
      <c r="H398" s="610"/>
      <c r="I398" s="610"/>
      <c r="J398" s="610"/>
      <c r="K398" s="610"/>
      <c r="L398" s="6"/>
      <c r="M398" s="6"/>
      <c r="N398" s="6"/>
      <c r="O398" s="6"/>
      <c r="P398" s="6"/>
      <c r="Q398" s="6"/>
      <c r="R398" s="6"/>
      <c r="S398" s="6"/>
      <c r="T398" s="6"/>
      <c r="U398" s="7"/>
    </row>
    <row r="399" ht="13.75" customHeight="1">
      <c r="A399" s="5"/>
      <c r="B399" s="613"/>
      <c r="C399" s="609"/>
      <c r="D399" s="610"/>
      <c r="E399" s="610"/>
      <c r="F399" s="610"/>
      <c r="G399" s="610"/>
      <c r="H399" s="610"/>
      <c r="I399" s="610"/>
      <c r="J399" s="610"/>
      <c r="K399" s="610"/>
      <c r="L399" s="6"/>
      <c r="M399" s="6"/>
      <c r="N399" s="6"/>
      <c r="O399" s="6"/>
      <c r="P399" s="6"/>
      <c r="Q399" s="6"/>
      <c r="R399" s="6"/>
      <c r="S399" s="6"/>
      <c r="T399" s="6"/>
      <c r="U399" s="7"/>
    </row>
    <row r="400" ht="13.75" customHeight="1">
      <c r="A400" s="5"/>
      <c r="B400" s="613"/>
      <c r="C400" s="609"/>
      <c r="D400" s="610"/>
      <c r="E400" s="610"/>
      <c r="F400" s="610"/>
      <c r="G400" s="610"/>
      <c r="H400" s="610"/>
      <c r="I400" s="610"/>
      <c r="J400" s="610"/>
      <c r="K400" s="610"/>
      <c r="L400" s="6"/>
      <c r="M400" s="6"/>
      <c r="N400" s="6"/>
      <c r="O400" s="6"/>
      <c r="P400" s="6"/>
      <c r="Q400" s="6"/>
      <c r="R400" s="6"/>
      <c r="S400" s="6"/>
      <c r="T400" s="6"/>
      <c r="U400" s="7"/>
    </row>
    <row r="401" ht="13.75" customHeight="1">
      <c r="A401" s="5"/>
      <c r="B401" s="613"/>
      <c r="C401" s="609"/>
      <c r="D401" s="610"/>
      <c r="E401" s="610"/>
      <c r="F401" s="610"/>
      <c r="G401" s="610"/>
      <c r="H401" s="610"/>
      <c r="I401" s="610"/>
      <c r="J401" s="610"/>
      <c r="K401" s="610"/>
      <c r="L401" s="6"/>
      <c r="M401" s="6"/>
      <c r="N401" s="6"/>
      <c r="O401" s="6"/>
      <c r="P401" s="6"/>
      <c r="Q401" s="6"/>
      <c r="R401" s="6"/>
      <c r="S401" s="6"/>
      <c r="T401" s="6"/>
      <c r="U401" s="7"/>
    </row>
    <row r="402" ht="13.75" customHeight="1">
      <c r="A402" s="5"/>
      <c r="B402" s="613"/>
      <c r="C402" s="609"/>
      <c r="D402" s="610"/>
      <c r="E402" s="610"/>
      <c r="F402" s="610"/>
      <c r="G402" s="610"/>
      <c r="H402" s="610"/>
      <c r="I402" s="610"/>
      <c r="J402" s="610"/>
      <c r="K402" s="610"/>
      <c r="L402" s="6"/>
      <c r="M402" s="6"/>
      <c r="N402" s="6"/>
      <c r="O402" s="6"/>
      <c r="P402" s="6"/>
      <c r="Q402" s="6"/>
      <c r="R402" s="6"/>
      <c r="S402" s="6"/>
      <c r="T402" s="6"/>
      <c r="U402" s="7"/>
    </row>
    <row r="403" ht="13.75" customHeight="1">
      <c r="A403" s="5"/>
      <c r="B403" s="613"/>
      <c r="C403" s="609"/>
      <c r="D403" s="610"/>
      <c r="E403" s="610"/>
      <c r="F403" s="610"/>
      <c r="G403" s="610"/>
      <c r="H403" s="610"/>
      <c r="I403" s="610"/>
      <c r="J403" s="610"/>
      <c r="K403" s="610"/>
      <c r="L403" s="6"/>
      <c r="M403" s="6"/>
      <c r="N403" s="6"/>
      <c r="O403" s="6"/>
      <c r="P403" s="6"/>
      <c r="Q403" s="6"/>
      <c r="R403" s="6"/>
      <c r="S403" s="6"/>
      <c r="T403" s="6"/>
      <c r="U403" s="7"/>
    </row>
    <row r="404" ht="13.75" customHeight="1">
      <c r="A404" s="5"/>
      <c r="B404" s="613"/>
      <c r="C404" s="609"/>
      <c r="D404" s="610"/>
      <c r="E404" s="610"/>
      <c r="F404" s="610"/>
      <c r="G404" s="610"/>
      <c r="H404" s="610"/>
      <c r="I404" s="610"/>
      <c r="J404" s="610"/>
      <c r="K404" s="610"/>
      <c r="L404" s="6"/>
      <c r="M404" s="6"/>
      <c r="N404" s="6"/>
      <c r="O404" s="6"/>
      <c r="P404" s="6"/>
      <c r="Q404" s="6"/>
      <c r="R404" s="6"/>
      <c r="S404" s="6"/>
      <c r="T404" s="6"/>
      <c r="U404" s="7"/>
    </row>
    <row r="405" ht="13.75" customHeight="1">
      <c r="A405" s="5"/>
      <c r="B405" s="613"/>
      <c r="C405" s="609"/>
      <c r="D405" s="610"/>
      <c r="E405" s="610"/>
      <c r="F405" s="610"/>
      <c r="G405" s="610"/>
      <c r="H405" s="610"/>
      <c r="I405" s="610"/>
      <c r="J405" s="610"/>
      <c r="K405" s="610"/>
      <c r="L405" s="6"/>
      <c r="M405" s="6"/>
      <c r="N405" s="6"/>
      <c r="O405" s="6"/>
      <c r="P405" s="6"/>
      <c r="Q405" s="6"/>
      <c r="R405" s="6"/>
      <c r="S405" s="6"/>
      <c r="T405" s="6"/>
      <c r="U405" s="7"/>
    </row>
    <row r="406" ht="13.75" customHeight="1">
      <c r="A406" s="5"/>
      <c r="B406" s="613"/>
      <c r="C406" s="609"/>
      <c r="D406" s="610"/>
      <c r="E406" s="610"/>
      <c r="F406" s="610"/>
      <c r="G406" s="610"/>
      <c r="H406" s="610"/>
      <c r="I406" s="610"/>
      <c r="J406" s="610"/>
      <c r="K406" s="610"/>
      <c r="L406" s="6"/>
      <c r="M406" s="6"/>
      <c r="N406" s="6"/>
      <c r="O406" s="6"/>
      <c r="P406" s="6"/>
      <c r="Q406" s="6"/>
      <c r="R406" s="6"/>
      <c r="S406" s="6"/>
      <c r="T406" s="6"/>
      <c r="U406" s="7"/>
    </row>
    <row r="407" ht="13.75" customHeight="1">
      <c r="A407" s="5"/>
      <c r="B407" s="613"/>
      <c r="C407" s="609"/>
      <c r="D407" s="610"/>
      <c r="E407" s="610"/>
      <c r="F407" s="610"/>
      <c r="G407" s="610"/>
      <c r="H407" s="610"/>
      <c r="I407" s="610"/>
      <c r="J407" s="610"/>
      <c r="K407" s="610"/>
      <c r="L407" s="6"/>
      <c r="M407" s="6"/>
      <c r="N407" s="6"/>
      <c r="O407" s="6"/>
      <c r="P407" s="6"/>
      <c r="Q407" s="6"/>
      <c r="R407" s="6"/>
      <c r="S407" s="6"/>
      <c r="T407" s="6"/>
      <c r="U407" s="7"/>
    </row>
    <row r="408" ht="13.75" customHeight="1">
      <c r="A408" s="5"/>
      <c r="B408" s="613"/>
      <c r="C408" s="609"/>
      <c r="D408" s="610"/>
      <c r="E408" s="610"/>
      <c r="F408" s="610"/>
      <c r="G408" s="610"/>
      <c r="H408" s="610"/>
      <c r="I408" s="610"/>
      <c r="J408" s="610"/>
      <c r="K408" s="610"/>
      <c r="L408" s="6"/>
      <c r="M408" s="6"/>
      <c r="N408" s="6"/>
      <c r="O408" s="6"/>
      <c r="P408" s="6"/>
      <c r="Q408" s="6"/>
      <c r="R408" s="6"/>
      <c r="S408" s="6"/>
      <c r="T408" s="6"/>
      <c r="U408" s="7"/>
    </row>
    <row r="409" ht="13.75" customHeight="1">
      <c r="A409" s="5"/>
      <c r="B409" s="613"/>
      <c r="C409" s="609"/>
      <c r="D409" s="610"/>
      <c r="E409" s="610"/>
      <c r="F409" s="610"/>
      <c r="G409" s="610"/>
      <c r="H409" s="610"/>
      <c r="I409" s="610"/>
      <c r="J409" s="610"/>
      <c r="K409" s="610"/>
      <c r="L409" s="6"/>
      <c r="M409" s="6"/>
      <c r="N409" s="6"/>
      <c r="O409" s="6"/>
      <c r="P409" s="6"/>
      <c r="Q409" s="6"/>
      <c r="R409" s="6"/>
      <c r="S409" s="6"/>
      <c r="T409" s="6"/>
      <c r="U409" s="7"/>
    </row>
    <row r="410" ht="13.75" customHeight="1">
      <c r="A410" s="5"/>
      <c r="B410" s="613"/>
      <c r="C410" s="609"/>
      <c r="D410" s="610"/>
      <c r="E410" s="610"/>
      <c r="F410" s="610"/>
      <c r="G410" s="610"/>
      <c r="H410" s="610"/>
      <c r="I410" s="610"/>
      <c r="J410" s="610"/>
      <c r="K410" s="610"/>
      <c r="L410" s="6"/>
      <c r="M410" s="6"/>
      <c r="N410" s="6"/>
      <c r="O410" s="6"/>
      <c r="P410" s="6"/>
      <c r="Q410" s="6"/>
      <c r="R410" s="6"/>
      <c r="S410" s="6"/>
      <c r="T410" s="6"/>
      <c r="U410" s="7"/>
    </row>
    <row r="411" ht="13.75" customHeight="1">
      <c r="A411" s="5"/>
      <c r="B411" s="613"/>
      <c r="C411" s="609"/>
      <c r="D411" s="610"/>
      <c r="E411" s="610"/>
      <c r="F411" s="610"/>
      <c r="G411" s="610"/>
      <c r="H411" s="610"/>
      <c r="I411" s="610"/>
      <c r="J411" s="610"/>
      <c r="K411" s="610"/>
      <c r="L411" s="6"/>
      <c r="M411" s="6"/>
      <c r="N411" s="6"/>
      <c r="O411" s="6"/>
      <c r="P411" s="6"/>
      <c r="Q411" s="6"/>
      <c r="R411" s="6"/>
      <c r="S411" s="6"/>
      <c r="T411" s="6"/>
      <c r="U411" s="7"/>
    </row>
    <row r="412" ht="13.75" customHeight="1">
      <c r="A412" s="5"/>
      <c r="B412" s="613"/>
      <c r="C412" s="609"/>
      <c r="D412" s="610"/>
      <c r="E412" s="610"/>
      <c r="F412" s="610"/>
      <c r="G412" s="610"/>
      <c r="H412" s="610"/>
      <c r="I412" s="610"/>
      <c r="J412" s="610"/>
      <c r="K412" s="610"/>
      <c r="L412" s="6"/>
      <c r="M412" s="6"/>
      <c r="N412" s="6"/>
      <c r="O412" s="6"/>
      <c r="P412" s="6"/>
      <c r="Q412" s="6"/>
      <c r="R412" s="6"/>
      <c r="S412" s="6"/>
      <c r="T412" s="6"/>
      <c r="U412" s="7"/>
    </row>
    <row r="413" ht="13.75" customHeight="1">
      <c r="A413" s="5"/>
      <c r="B413" s="613"/>
      <c r="C413" s="609"/>
      <c r="D413" s="610"/>
      <c r="E413" s="610"/>
      <c r="F413" s="610"/>
      <c r="G413" s="610"/>
      <c r="H413" s="610"/>
      <c r="I413" s="610"/>
      <c r="J413" s="610"/>
      <c r="K413" s="610"/>
      <c r="L413" s="6"/>
      <c r="M413" s="6"/>
      <c r="N413" s="6"/>
      <c r="O413" s="6"/>
      <c r="P413" s="6"/>
      <c r="Q413" s="6"/>
      <c r="R413" s="6"/>
      <c r="S413" s="6"/>
      <c r="T413" s="6"/>
      <c r="U413" s="7"/>
    </row>
    <row r="414" ht="13.75" customHeight="1">
      <c r="A414" s="5"/>
      <c r="B414" s="613"/>
      <c r="C414" s="609"/>
      <c r="D414" s="610"/>
      <c r="E414" s="610"/>
      <c r="F414" s="610"/>
      <c r="G414" s="610"/>
      <c r="H414" s="610"/>
      <c r="I414" s="610"/>
      <c r="J414" s="610"/>
      <c r="K414" s="610"/>
      <c r="L414" s="6"/>
      <c r="M414" s="6"/>
      <c r="N414" s="6"/>
      <c r="O414" s="6"/>
      <c r="P414" s="6"/>
      <c r="Q414" s="6"/>
      <c r="R414" s="6"/>
      <c r="S414" s="6"/>
      <c r="T414" s="6"/>
      <c r="U414" s="7"/>
    </row>
    <row r="415" ht="13.75" customHeight="1">
      <c r="A415" s="5"/>
      <c r="B415" s="613"/>
      <c r="C415" s="609"/>
      <c r="D415" s="610"/>
      <c r="E415" s="610"/>
      <c r="F415" s="610"/>
      <c r="G415" s="610"/>
      <c r="H415" s="610"/>
      <c r="I415" s="610"/>
      <c r="J415" s="610"/>
      <c r="K415" s="610"/>
      <c r="L415" s="6"/>
      <c r="M415" s="6"/>
      <c r="N415" s="6"/>
      <c r="O415" s="6"/>
      <c r="P415" s="6"/>
      <c r="Q415" s="6"/>
      <c r="R415" s="6"/>
      <c r="S415" s="6"/>
      <c r="T415" s="6"/>
      <c r="U415" s="7"/>
    </row>
    <row r="416" ht="13.75" customHeight="1">
      <c r="A416" s="5"/>
      <c r="B416" s="613"/>
      <c r="C416" s="609"/>
      <c r="D416" s="610"/>
      <c r="E416" s="610"/>
      <c r="F416" s="610"/>
      <c r="G416" s="610"/>
      <c r="H416" s="610"/>
      <c r="I416" s="610"/>
      <c r="J416" s="610"/>
      <c r="K416" s="610"/>
      <c r="L416" s="6"/>
      <c r="M416" s="6"/>
      <c r="N416" s="6"/>
      <c r="O416" s="6"/>
      <c r="P416" s="6"/>
      <c r="Q416" s="6"/>
      <c r="R416" s="6"/>
      <c r="S416" s="6"/>
      <c r="T416" s="6"/>
      <c r="U416" s="7"/>
    </row>
    <row r="417" ht="13.75" customHeight="1">
      <c r="A417" s="5"/>
      <c r="B417" s="613"/>
      <c r="C417" s="609"/>
      <c r="D417" s="610"/>
      <c r="E417" s="610"/>
      <c r="F417" s="610"/>
      <c r="G417" s="610"/>
      <c r="H417" s="610"/>
      <c r="I417" s="610"/>
      <c r="J417" s="610"/>
      <c r="K417" s="610"/>
      <c r="L417" s="6"/>
      <c r="M417" s="6"/>
      <c r="N417" s="6"/>
      <c r="O417" s="6"/>
      <c r="P417" s="6"/>
      <c r="Q417" s="6"/>
      <c r="R417" s="6"/>
      <c r="S417" s="6"/>
      <c r="T417" s="6"/>
      <c r="U417" s="7"/>
    </row>
    <row r="418" ht="13.75" customHeight="1">
      <c r="A418" s="5"/>
      <c r="B418" s="613"/>
      <c r="C418" s="609"/>
      <c r="D418" s="610"/>
      <c r="E418" s="610"/>
      <c r="F418" s="610"/>
      <c r="G418" s="610"/>
      <c r="H418" s="610"/>
      <c r="I418" s="610"/>
      <c r="J418" s="610"/>
      <c r="K418" s="610"/>
      <c r="L418" s="6"/>
      <c r="M418" s="6"/>
      <c r="N418" s="6"/>
      <c r="O418" s="6"/>
      <c r="P418" s="6"/>
      <c r="Q418" s="6"/>
      <c r="R418" s="6"/>
      <c r="S418" s="6"/>
      <c r="T418" s="6"/>
      <c r="U418" s="7"/>
    </row>
    <row r="419" ht="13.75" customHeight="1">
      <c r="A419" s="5"/>
      <c r="B419" s="613"/>
      <c r="C419" s="609"/>
      <c r="D419" s="610"/>
      <c r="E419" s="610"/>
      <c r="F419" s="610"/>
      <c r="G419" s="610"/>
      <c r="H419" s="610"/>
      <c r="I419" s="610"/>
      <c r="J419" s="610"/>
      <c r="K419" s="610"/>
      <c r="L419" s="6"/>
      <c r="M419" s="6"/>
      <c r="N419" s="6"/>
      <c r="O419" s="6"/>
      <c r="P419" s="6"/>
      <c r="Q419" s="6"/>
      <c r="R419" s="6"/>
      <c r="S419" s="6"/>
      <c r="T419" s="6"/>
      <c r="U419" s="7"/>
    </row>
    <row r="420" ht="13.75" customHeight="1">
      <c r="A420" s="5"/>
      <c r="B420" s="613"/>
      <c r="C420" s="609"/>
      <c r="D420" s="610"/>
      <c r="E420" s="610"/>
      <c r="F420" s="610"/>
      <c r="G420" s="610"/>
      <c r="H420" s="610"/>
      <c r="I420" s="610"/>
      <c r="J420" s="610"/>
      <c r="K420" s="610"/>
      <c r="L420" s="6"/>
      <c r="M420" s="6"/>
      <c r="N420" s="6"/>
      <c r="O420" s="6"/>
      <c r="P420" s="6"/>
      <c r="Q420" s="6"/>
      <c r="R420" s="6"/>
      <c r="S420" s="6"/>
      <c r="T420" s="6"/>
      <c r="U420" s="7"/>
    </row>
    <row r="421" ht="13.75" customHeight="1">
      <c r="A421" s="5"/>
      <c r="B421" s="613"/>
      <c r="C421" s="609"/>
      <c r="D421" s="610"/>
      <c r="E421" s="610"/>
      <c r="F421" s="610"/>
      <c r="G421" s="610"/>
      <c r="H421" s="610"/>
      <c r="I421" s="610"/>
      <c r="J421" s="610"/>
      <c r="K421" s="610"/>
      <c r="L421" s="6"/>
      <c r="M421" s="6"/>
      <c r="N421" s="6"/>
      <c r="O421" s="6"/>
      <c r="P421" s="6"/>
      <c r="Q421" s="6"/>
      <c r="R421" s="6"/>
      <c r="S421" s="6"/>
      <c r="T421" s="6"/>
      <c r="U421" s="7"/>
    </row>
    <row r="422" ht="13.75" customHeight="1">
      <c r="A422" s="5"/>
      <c r="B422" s="613"/>
      <c r="C422" s="609"/>
      <c r="D422" s="610"/>
      <c r="E422" s="610"/>
      <c r="F422" s="610"/>
      <c r="G422" s="610"/>
      <c r="H422" s="610"/>
      <c r="I422" s="610"/>
      <c r="J422" s="610"/>
      <c r="K422" s="610"/>
      <c r="L422" s="6"/>
      <c r="M422" s="6"/>
      <c r="N422" s="6"/>
      <c r="O422" s="6"/>
      <c r="P422" s="6"/>
      <c r="Q422" s="6"/>
      <c r="R422" s="6"/>
      <c r="S422" s="6"/>
      <c r="T422" s="6"/>
      <c r="U422" s="7"/>
    </row>
    <row r="423" ht="13.75" customHeight="1">
      <c r="A423" s="5"/>
      <c r="B423" s="613"/>
      <c r="C423" s="609"/>
      <c r="D423" s="610"/>
      <c r="E423" s="610"/>
      <c r="F423" s="610"/>
      <c r="G423" s="610"/>
      <c r="H423" s="610"/>
      <c r="I423" s="610"/>
      <c r="J423" s="610"/>
      <c r="K423" s="610"/>
      <c r="L423" s="6"/>
      <c r="M423" s="6"/>
      <c r="N423" s="6"/>
      <c r="O423" s="6"/>
      <c r="P423" s="6"/>
      <c r="Q423" s="6"/>
      <c r="R423" s="6"/>
      <c r="S423" s="6"/>
      <c r="T423" s="6"/>
      <c r="U423" s="7"/>
    </row>
    <row r="424" ht="13.75" customHeight="1">
      <c r="A424" s="5"/>
      <c r="B424" s="613"/>
      <c r="C424" s="609"/>
      <c r="D424" s="610"/>
      <c r="E424" s="610"/>
      <c r="F424" s="610"/>
      <c r="G424" s="610"/>
      <c r="H424" s="610"/>
      <c r="I424" s="610"/>
      <c r="J424" s="610"/>
      <c r="K424" s="610"/>
      <c r="L424" s="6"/>
      <c r="M424" s="6"/>
      <c r="N424" s="6"/>
      <c r="O424" s="6"/>
      <c r="P424" s="6"/>
      <c r="Q424" s="6"/>
      <c r="R424" s="6"/>
      <c r="S424" s="6"/>
      <c r="T424" s="6"/>
      <c r="U424" s="7"/>
    </row>
    <row r="425" ht="13.75" customHeight="1">
      <c r="A425" s="5"/>
      <c r="B425" s="613"/>
      <c r="C425" s="609"/>
      <c r="D425" s="610"/>
      <c r="E425" s="610"/>
      <c r="F425" s="610"/>
      <c r="G425" s="610"/>
      <c r="H425" s="610"/>
      <c r="I425" s="610"/>
      <c r="J425" s="610"/>
      <c r="K425" s="610"/>
      <c r="L425" s="6"/>
      <c r="M425" s="6"/>
      <c r="N425" s="6"/>
      <c r="O425" s="6"/>
      <c r="P425" s="6"/>
      <c r="Q425" s="6"/>
      <c r="R425" s="6"/>
      <c r="S425" s="6"/>
      <c r="T425" s="6"/>
      <c r="U425" s="7"/>
    </row>
    <row r="426" ht="13.75" customHeight="1">
      <c r="A426" s="5"/>
      <c r="B426" s="613"/>
      <c r="C426" s="609"/>
      <c r="D426" s="610"/>
      <c r="E426" s="610"/>
      <c r="F426" s="610"/>
      <c r="G426" s="610"/>
      <c r="H426" s="610"/>
      <c r="I426" s="610"/>
      <c r="J426" s="610"/>
      <c r="K426" s="610"/>
      <c r="L426" s="6"/>
      <c r="M426" s="6"/>
      <c r="N426" s="6"/>
      <c r="O426" s="6"/>
      <c r="P426" s="6"/>
      <c r="Q426" s="6"/>
      <c r="R426" s="6"/>
      <c r="S426" s="6"/>
      <c r="T426" s="6"/>
      <c r="U426" s="7"/>
    </row>
    <row r="427" ht="13.75" customHeight="1">
      <c r="A427" s="5"/>
      <c r="B427" s="613"/>
      <c r="C427" s="609"/>
      <c r="D427" s="610"/>
      <c r="E427" s="610"/>
      <c r="F427" s="610"/>
      <c r="G427" s="610"/>
      <c r="H427" s="610"/>
      <c r="I427" s="610"/>
      <c r="J427" s="610"/>
      <c r="K427" s="610"/>
      <c r="L427" s="6"/>
      <c r="M427" s="6"/>
      <c r="N427" s="6"/>
      <c r="O427" s="6"/>
      <c r="P427" s="6"/>
      <c r="Q427" s="6"/>
      <c r="R427" s="6"/>
      <c r="S427" s="6"/>
      <c r="T427" s="6"/>
      <c r="U427" s="7"/>
    </row>
    <row r="428" ht="13.75" customHeight="1">
      <c r="A428" s="5"/>
      <c r="B428" s="613"/>
      <c r="C428" s="609"/>
      <c r="D428" s="610"/>
      <c r="E428" s="610"/>
      <c r="F428" s="610"/>
      <c r="G428" s="610"/>
      <c r="H428" s="610"/>
      <c r="I428" s="610"/>
      <c r="J428" s="610"/>
      <c r="K428" s="610"/>
      <c r="L428" s="6"/>
      <c r="M428" s="6"/>
      <c r="N428" s="6"/>
      <c r="O428" s="6"/>
      <c r="P428" s="6"/>
      <c r="Q428" s="6"/>
      <c r="R428" s="6"/>
      <c r="S428" s="6"/>
      <c r="T428" s="6"/>
      <c r="U428" s="7"/>
    </row>
    <row r="429" ht="13.75" customHeight="1">
      <c r="A429" s="5"/>
      <c r="B429" s="613"/>
      <c r="C429" s="609"/>
      <c r="D429" s="610"/>
      <c r="E429" s="610"/>
      <c r="F429" s="610"/>
      <c r="G429" s="610"/>
      <c r="H429" s="610"/>
      <c r="I429" s="610"/>
      <c r="J429" s="610"/>
      <c r="K429" s="610"/>
      <c r="L429" s="6"/>
      <c r="M429" s="6"/>
      <c r="N429" s="6"/>
      <c r="O429" s="6"/>
      <c r="P429" s="6"/>
      <c r="Q429" s="6"/>
      <c r="R429" s="6"/>
      <c r="S429" s="6"/>
      <c r="T429" s="6"/>
      <c r="U429" s="7"/>
    </row>
    <row r="430" ht="13.75" customHeight="1">
      <c r="A430" s="5"/>
      <c r="B430" s="613"/>
      <c r="C430" s="609"/>
      <c r="D430" s="610"/>
      <c r="E430" s="610"/>
      <c r="F430" s="610"/>
      <c r="G430" s="610"/>
      <c r="H430" s="610"/>
      <c r="I430" s="610"/>
      <c r="J430" s="610"/>
      <c r="K430" s="610"/>
      <c r="L430" s="6"/>
      <c r="M430" s="6"/>
      <c r="N430" s="6"/>
      <c r="O430" s="6"/>
      <c r="P430" s="6"/>
      <c r="Q430" s="6"/>
      <c r="R430" s="6"/>
      <c r="S430" s="6"/>
      <c r="T430" s="6"/>
      <c r="U430" s="7"/>
    </row>
    <row r="431" ht="13.75" customHeight="1">
      <c r="A431" s="5"/>
      <c r="B431" s="613"/>
      <c r="C431" s="609"/>
      <c r="D431" s="610"/>
      <c r="E431" s="610"/>
      <c r="F431" s="610"/>
      <c r="G431" s="610"/>
      <c r="H431" s="610"/>
      <c r="I431" s="610"/>
      <c r="J431" s="610"/>
      <c r="K431" s="610"/>
      <c r="L431" s="6"/>
      <c r="M431" s="6"/>
      <c r="N431" s="6"/>
      <c r="O431" s="6"/>
      <c r="P431" s="6"/>
      <c r="Q431" s="6"/>
      <c r="R431" s="6"/>
      <c r="S431" s="6"/>
      <c r="T431" s="6"/>
      <c r="U431" s="7"/>
    </row>
    <row r="432" ht="13.75" customHeight="1">
      <c r="A432" s="5"/>
      <c r="B432" s="613"/>
      <c r="C432" s="609"/>
      <c r="D432" s="610"/>
      <c r="E432" s="610"/>
      <c r="F432" s="610"/>
      <c r="G432" s="610"/>
      <c r="H432" s="610"/>
      <c r="I432" s="610"/>
      <c r="J432" s="610"/>
      <c r="K432" s="610"/>
      <c r="L432" s="6"/>
      <c r="M432" s="6"/>
      <c r="N432" s="6"/>
      <c r="O432" s="6"/>
      <c r="P432" s="6"/>
      <c r="Q432" s="6"/>
      <c r="R432" s="6"/>
      <c r="S432" s="6"/>
      <c r="T432" s="6"/>
      <c r="U432" s="7"/>
    </row>
    <row r="433" ht="13.75" customHeight="1">
      <c r="A433" s="5"/>
      <c r="B433" s="613"/>
      <c r="C433" s="609"/>
      <c r="D433" s="610"/>
      <c r="E433" s="610"/>
      <c r="F433" s="610"/>
      <c r="G433" s="610"/>
      <c r="H433" s="610"/>
      <c r="I433" s="610"/>
      <c r="J433" s="610"/>
      <c r="K433" s="610"/>
      <c r="L433" s="6"/>
      <c r="M433" s="6"/>
      <c r="N433" s="6"/>
      <c r="O433" s="6"/>
      <c r="P433" s="6"/>
      <c r="Q433" s="6"/>
      <c r="R433" s="6"/>
      <c r="S433" s="6"/>
      <c r="T433" s="6"/>
      <c r="U433" s="7"/>
    </row>
    <row r="434" ht="13.75" customHeight="1">
      <c r="A434" s="5"/>
      <c r="B434" s="613"/>
      <c r="C434" s="609"/>
      <c r="D434" s="610"/>
      <c r="E434" s="610"/>
      <c r="F434" s="610"/>
      <c r="G434" s="610"/>
      <c r="H434" s="610"/>
      <c r="I434" s="610"/>
      <c r="J434" s="610"/>
      <c r="K434" s="610"/>
      <c r="L434" s="6"/>
      <c r="M434" s="6"/>
      <c r="N434" s="6"/>
      <c r="O434" s="6"/>
      <c r="P434" s="6"/>
      <c r="Q434" s="6"/>
      <c r="R434" s="6"/>
      <c r="S434" s="6"/>
      <c r="T434" s="6"/>
      <c r="U434" s="7"/>
    </row>
    <row r="435" ht="13.75" customHeight="1">
      <c r="A435" s="5"/>
      <c r="B435" s="613"/>
      <c r="C435" s="609"/>
      <c r="D435" s="610"/>
      <c r="E435" s="610"/>
      <c r="F435" s="610"/>
      <c r="G435" s="610"/>
      <c r="H435" s="610"/>
      <c r="I435" s="610"/>
      <c r="J435" s="610"/>
      <c r="K435" s="610"/>
      <c r="L435" s="6"/>
      <c r="M435" s="6"/>
      <c r="N435" s="6"/>
      <c r="O435" s="6"/>
      <c r="P435" s="6"/>
      <c r="Q435" s="6"/>
      <c r="R435" s="6"/>
      <c r="S435" s="6"/>
      <c r="T435" s="6"/>
      <c r="U435" s="7"/>
    </row>
    <row r="436" ht="13.75" customHeight="1">
      <c r="A436" s="5"/>
      <c r="B436" s="613"/>
      <c r="C436" s="609"/>
      <c r="D436" s="610"/>
      <c r="E436" s="610"/>
      <c r="F436" s="610"/>
      <c r="G436" s="610"/>
      <c r="H436" s="610"/>
      <c r="I436" s="610"/>
      <c r="J436" s="610"/>
      <c r="K436" s="610"/>
      <c r="L436" s="6"/>
      <c r="M436" s="6"/>
      <c r="N436" s="6"/>
      <c r="O436" s="6"/>
      <c r="P436" s="6"/>
      <c r="Q436" s="6"/>
      <c r="R436" s="6"/>
      <c r="S436" s="6"/>
      <c r="T436" s="6"/>
      <c r="U436" s="7"/>
    </row>
    <row r="437" ht="13.75" customHeight="1">
      <c r="A437" s="5"/>
      <c r="B437" s="613"/>
      <c r="C437" s="609"/>
      <c r="D437" s="610"/>
      <c r="E437" s="610"/>
      <c r="F437" s="610"/>
      <c r="G437" s="610"/>
      <c r="H437" s="610"/>
      <c r="I437" s="610"/>
      <c r="J437" s="610"/>
      <c r="K437" s="610"/>
      <c r="L437" s="6"/>
      <c r="M437" s="6"/>
      <c r="N437" s="6"/>
      <c r="O437" s="6"/>
      <c r="P437" s="6"/>
      <c r="Q437" s="6"/>
      <c r="R437" s="6"/>
      <c r="S437" s="6"/>
      <c r="T437" s="6"/>
      <c r="U437" s="7"/>
    </row>
    <row r="438" ht="13.75" customHeight="1">
      <c r="A438" s="5"/>
      <c r="B438" s="613"/>
      <c r="C438" s="609"/>
      <c r="D438" s="610"/>
      <c r="E438" s="610"/>
      <c r="F438" s="610"/>
      <c r="G438" s="610"/>
      <c r="H438" s="610"/>
      <c r="I438" s="610"/>
      <c r="J438" s="610"/>
      <c r="K438" s="610"/>
      <c r="L438" s="6"/>
      <c r="M438" s="6"/>
      <c r="N438" s="6"/>
      <c r="O438" s="6"/>
      <c r="P438" s="6"/>
      <c r="Q438" s="6"/>
      <c r="R438" s="6"/>
      <c r="S438" s="6"/>
      <c r="T438" s="6"/>
      <c r="U438" s="7"/>
    </row>
    <row r="439" ht="13.75" customHeight="1">
      <c r="A439" s="5"/>
      <c r="B439" s="613"/>
      <c r="C439" s="609"/>
      <c r="D439" s="610"/>
      <c r="E439" s="610"/>
      <c r="F439" s="610"/>
      <c r="G439" s="610"/>
      <c r="H439" s="610"/>
      <c r="I439" s="610"/>
      <c r="J439" s="610"/>
      <c r="K439" s="610"/>
      <c r="L439" s="6"/>
      <c r="M439" s="6"/>
      <c r="N439" s="6"/>
      <c r="O439" s="6"/>
      <c r="P439" s="6"/>
      <c r="Q439" s="6"/>
      <c r="R439" s="6"/>
      <c r="S439" s="6"/>
      <c r="T439" s="6"/>
      <c r="U439" s="7"/>
    </row>
    <row r="440" ht="13.75" customHeight="1">
      <c r="A440" s="5"/>
      <c r="B440" s="613"/>
      <c r="C440" s="609"/>
      <c r="D440" s="610"/>
      <c r="E440" s="610"/>
      <c r="F440" s="610"/>
      <c r="G440" s="610"/>
      <c r="H440" s="610"/>
      <c r="I440" s="610"/>
      <c r="J440" s="610"/>
      <c r="K440" s="610"/>
      <c r="L440" s="6"/>
      <c r="M440" s="6"/>
      <c r="N440" s="6"/>
      <c r="O440" s="6"/>
      <c r="P440" s="6"/>
      <c r="Q440" s="6"/>
      <c r="R440" s="6"/>
      <c r="S440" s="6"/>
      <c r="T440" s="6"/>
      <c r="U440" s="7"/>
    </row>
    <row r="441" ht="13.75" customHeight="1">
      <c r="A441" s="5"/>
      <c r="B441" s="613"/>
      <c r="C441" s="609"/>
      <c r="D441" s="610"/>
      <c r="E441" s="610"/>
      <c r="F441" s="610"/>
      <c r="G441" s="610"/>
      <c r="H441" s="610"/>
      <c r="I441" s="610"/>
      <c r="J441" s="610"/>
      <c r="K441" s="610"/>
      <c r="L441" s="6"/>
      <c r="M441" s="6"/>
      <c r="N441" s="6"/>
      <c r="O441" s="6"/>
      <c r="P441" s="6"/>
      <c r="Q441" s="6"/>
      <c r="R441" s="6"/>
      <c r="S441" s="6"/>
      <c r="T441" s="6"/>
      <c r="U441" s="7"/>
    </row>
    <row r="442" ht="13.75" customHeight="1">
      <c r="A442" s="5"/>
      <c r="B442" s="613"/>
      <c r="C442" s="609"/>
      <c r="D442" s="610"/>
      <c r="E442" s="610"/>
      <c r="F442" s="610"/>
      <c r="G442" s="610"/>
      <c r="H442" s="610"/>
      <c r="I442" s="610"/>
      <c r="J442" s="610"/>
      <c r="K442" s="610"/>
      <c r="L442" s="6"/>
      <c r="M442" s="6"/>
      <c r="N442" s="6"/>
      <c r="O442" s="6"/>
      <c r="P442" s="6"/>
      <c r="Q442" s="6"/>
      <c r="R442" s="6"/>
      <c r="S442" s="6"/>
      <c r="T442" s="6"/>
      <c r="U442" s="7"/>
    </row>
    <row r="443" ht="13.75" customHeight="1">
      <c r="A443" s="5"/>
      <c r="B443" s="613"/>
      <c r="C443" s="609"/>
      <c r="D443" s="610"/>
      <c r="E443" s="610"/>
      <c r="F443" s="610"/>
      <c r="G443" s="610"/>
      <c r="H443" s="610"/>
      <c r="I443" s="610"/>
      <c r="J443" s="610"/>
      <c r="K443" s="610"/>
      <c r="L443" s="6"/>
      <c r="M443" s="6"/>
      <c r="N443" s="6"/>
      <c r="O443" s="6"/>
      <c r="P443" s="6"/>
      <c r="Q443" s="6"/>
      <c r="R443" s="6"/>
      <c r="S443" s="6"/>
      <c r="T443" s="6"/>
      <c r="U443" s="7"/>
    </row>
    <row r="444" ht="13.75" customHeight="1">
      <c r="A444" s="5"/>
      <c r="B444" s="613"/>
      <c r="C444" s="609"/>
      <c r="D444" s="610"/>
      <c r="E444" s="610"/>
      <c r="F444" s="610"/>
      <c r="G444" s="610"/>
      <c r="H444" s="610"/>
      <c r="I444" s="610"/>
      <c r="J444" s="610"/>
      <c r="K444" s="610"/>
      <c r="L444" s="6"/>
      <c r="M444" s="6"/>
      <c r="N444" s="6"/>
      <c r="O444" s="6"/>
      <c r="P444" s="6"/>
      <c r="Q444" s="6"/>
      <c r="R444" s="6"/>
      <c r="S444" s="6"/>
      <c r="T444" s="6"/>
      <c r="U444" s="7"/>
    </row>
    <row r="445" ht="13.75" customHeight="1">
      <c r="A445" s="5"/>
      <c r="B445" s="613"/>
      <c r="C445" s="609"/>
      <c r="D445" s="610"/>
      <c r="E445" s="610"/>
      <c r="F445" s="610"/>
      <c r="G445" s="610"/>
      <c r="H445" s="610"/>
      <c r="I445" s="610"/>
      <c r="J445" s="610"/>
      <c r="K445" s="610"/>
      <c r="L445" s="6"/>
      <c r="M445" s="6"/>
      <c r="N445" s="6"/>
      <c r="O445" s="6"/>
      <c r="P445" s="6"/>
      <c r="Q445" s="6"/>
      <c r="R445" s="6"/>
      <c r="S445" s="6"/>
      <c r="T445" s="6"/>
      <c r="U445" s="7"/>
    </row>
    <row r="446" ht="13.75" customHeight="1">
      <c r="A446" s="5"/>
      <c r="B446" s="613"/>
      <c r="C446" s="609"/>
      <c r="D446" s="610"/>
      <c r="E446" s="610"/>
      <c r="F446" s="610"/>
      <c r="G446" s="610"/>
      <c r="H446" s="610"/>
      <c r="I446" s="610"/>
      <c r="J446" s="610"/>
      <c r="K446" s="610"/>
      <c r="L446" s="6"/>
      <c r="M446" s="6"/>
      <c r="N446" s="6"/>
      <c r="O446" s="6"/>
      <c r="P446" s="6"/>
      <c r="Q446" s="6"/>
      <c r="R446" s="6"/>
      <c r="S446" s="6"/>
      <c r="T446" s="6"/>
      <c r="U446" s="7"/>
    </row>
    <row r="447" ht="13.75" customHeight="1">
      <c r="A447" s="5"/>
      <c r="B447" s="613"/>
      <c r="C447" s="609"/>
      <c r="D447" s="610"/>
      <c r="E447" s="610"/>
      <c r="F447" s="610"/>
      <c r="G447" s="610"/>
      <c r="H447" s="610"/>
      <c r="I447" s="610"/>
      <c r="J447" s="610"/>
      <c r="K447" s="610"/>
      <c r="L447" s="6"/>
      <c r="M447" s="6"/>
      <c r="N447" s="6"/>
      <c r="O447" s="6"/>
      <c r="P447" s="6"/>
      <c r="Q447" s="6"/>
      <c r="R447" s="6"/>
      <c r="S447" s="6"/>
      <c r="T447" s="6"/>
      <c r="U447" s="7"/>
    </row>
    <row r="448" ht="13.75" customHeight="1">
      <c r="A448" s="5"/>
      <c r="B448" s="613"/>
      <c r="C448" s="609"/>
      <c r="D448" s="610"/>
      <c r="E448" s="610"/>
      <c r="F448" s="610"/>
      <c r="G448" s="610"/>
      <c r="H448" s="610"/>
      <c r="I448" s="610"/>
      <c r="J448" s="610"/>
      <c r="K448" s="610"/>
      <c r="L448" s="6"/>
      <c r="M448" s="6"/>
      <c r="N448" s="6"/>
      <c r="O448" s="6"/>
      <c r="P448" s="6"/>
      <c r="Q448" s="6"/>
      <c r="R448" s="6"/>
      <c r="S448" s="6"/>
      <c r="T448" s="6"/>
      <c r="U448" s="7"/>
    </row>
    <row r="449" ht="13.75" customHeight="1">
      <c r="A449" s="5"/>
      <c r="B449" s="613"/>
      <c r="C449" s="609"/>
      <c r="D449" s="610"/>
      <c r="E449" s="610"/>
      <c r="F449" s="610"/>
      <c r="G449" s="610"/>
      <c r="H449" s="610"/>
      <c r="I449" s="610"/>
      <c r="J449" s="610"/>
      <c r="K449" s="610"/>
      <c r="L449" s="6"/>
      <c r="M449" s="6"/>
      <c r="N449" s="6"/>
      <c r="O449" s="6"/>
      <c r="P449" s="6"/>
      <c r="Q449" s="6"/>
      <c r="R449" s="6"/>
      <c r="S449" s="6"/>
      <c r="T449" s="6"/>
      <c r="U449" s="7"/>
    </row>
    <row r="450" ht="13.75" customHeight="1">
      <c r="A450" s="5"/>
      <c r="B450" s="613"/>
      <c r="C450" s="609"/>
      <c r="D450" s="610"/>
      <c r="E450" s="610"/>
      <c r="F450" s="610"/>
      <c r="G450" s="610"/>
      <c r="H450" s="610"/>
      <c r="I450" s="610"/>
      <c r="J450" s="610"/>
      <c r="K450" s="610"/>
      <c r="L450" s="6"/>
      <c r="M450" s="6"/>
      <c r="N450" s="6"/>
      <c r="O450" s="6"/>
      <c r="P450" s="6"/>
      <c r="Q450" s="6"/>
      <c r="R450" s="6"/>
      <c r="S450" s="6"/>
      <c r="T450" s="6"/>
      <c r="U450" s="7"/>
    </row>
    <row r="451" ht="13.75" customHeight="1">
      <c r="A451" s="5"/>
      <c r="B451" s="613"/>
      <c r="C451" s="609"/>
      <c r="D451" s="610"/>
      <c r="E451" s="610"/>
      <c r="F451" s="610"/>
      <c r="G451" s="610"/>
      <c r="H451" s="610"/>
      <c r="I451" s="610"/>
      <c r="J451" s="610"/>
      <c r="K451" s="610"/>
      <c r="L451" s="6"/>
      <c r="M451" s="6"/>
      <c r="N451" s="6"/>
      <c r="O451" s="6"/>
      <c r="P451" s="6"/>
      <c r="Q451" s="6"/>
      <c r="R451" s="6"/>
      <c r="S451" s="6"/>
      <c r="T451" s="6"/>
      <c r="U451" s="7"/>
    </row>
    <row r="452" ht="13.75" customHeight="1">
      <c r="A452" s="5"/>
      <c r="B452" s="613"/>
      <c r="C452" s="609"/>
      <c r="D452" s="610"/>
      <c r="E452" s="610"/>
      <c r="F452" s="610"/>
      <c r="G452" s="610"/>
      <c r="H452" s="610"/>
      <c r="I452" s="610"/>
      <c r="J452" s="610"/>
      <c r="K452" s="610"/>
      <c r="L452" s="6"/>
      <c r="M452" s="6"/>
      <c r="N452" s="6"/>
      <c r="O452" s="6"/>
      <c r="P452" s="6"/>
      <c r="Q452" s="6"/>
      <c r="R452" s="6"/>
      <c r="S452" s="6"/>
      <c r="T452" s="6"/>
      <c r="U452" s="7"/>
    </row>
    <row r="453" ht="13.75" customHeight="1">
      <c r="A453" s="5"/>
      <c r="B453" s="613"/>
      <c r="C453" s="609"/>
      <c r="D453" s="610"/>
      <c r="E453" s="610"/>
      <c r="F453" s="610"/>
      <c r="G453" s="610"/>
      <c r="H453" s="610"/>
      <c r="I453" s="610"/>
      <c r="J453" s="610"/>
      <c r="K453" s="610"/>
      <c r="L453" s="6"/>
      <c r="M453" s="6"/>
      <c r="N453" s="6"/>
      <c r="O453" s="6"/>
      <c r="P453" s="6"/>
      <c r="Q453" s="6"/>
      <c r="R453" s="6"/>
      <c r="S453" s="6"/>
      <c r="T453" s="6"/>
      <c r="U453" s="7"/>
    </row>
    <row r="454" ht="13.75" customHeight="1">
      <c r="A454" s="5"/>
      <c r="B454" s="613"/>
      <c r="C454" s="609"/>
      <c r="D454" s="610"/>
      <c r="E454" s="610"/>
      <c r="F454" s="610"/>
      <c r="G454" s="610"/>
      <c r="H454" s="610"/>
      <c r="I454" s="610"/>
      <c r="J454" s="610"/>
      <c r="K454" s="610"/>
      <c r="L454" s="6"/>
      <c r="M454" s="6"/>
      <c r="N454" s="6"/>
      <c r="O454" s="6"/>
      <c r="P454" s="6"/>
      <c r="Q454" s="6"/>
      <c r="R454" s="6"/>
      <c r="S454" s="6"/>
      <c r="T454" s="6"/>
      <c r="U454" s="7"/>
    </row>
    <row r="455" ht="13.75" customHeight="1">
      <c r="A455" s="5"/>
      <c r="B455" s="613"/>
      <c r="C455" s="609"/>
      <c r="D455" s="610"/>
      <c r="E455" s="610"/>
      <c r="F455" s="610"/>
      <c r="G455" s="610"/>
      <c r="H455" s="610"/>
      <c r="I455" s="610"/>
      <c r="J455" s="610"/>
      <c r="K455" s="610"/>
      <c r="L455" s="6"/>
      <c r="M455" s="6"/>
      <c r="N455" s="6"/>
      <c r="O455" s="6"/>
      <c r="P455" s="6"/>
      <c r="Q455" s="6"/>
      <c r="R455" s="6"/>
      <c r="S455" s="6"/>
      <c r="T455" s="6"/>
      <c r="U455" s="7"/>
    </row>
    <row r="456" ht="13.75" customHeight="1">
      <c r="A456" s="5"/>
      <c r="B456" s="613"/>
      <c r="C456" s="609"/>
      <c r="D456" s="610"/>
      <c r="E456" s="610"/>
      <c r="F456" s="610"/>
      <c r="G456" s="610"/>
      <c r="H456" s="610"/>
      <c r="I456" s="610"/>
      <c r="J456" s="610"/>
      <c r="K456" s="610"/>
      <c r="L456" s="6"/>
      <c r="M456" s="6"/>
      <c r="N456" s="6"/>
      <c r="O456" s="6"/>
      <c r="P456" s="6"/>
      <c r="Q456" s="6"/>
      <c r="R456" s="6"/>
      <c r="S456" s="6"/>
      <c r="T456" s="6"/>
      <c r="U456" s="7"/>
    </row>
    <row r="457" ht="13.75" customHeight="1">
      <c r="A457" s="5"/>
      <c r="B457" s="613"/>
      <c r="C457" s="609"/>
      <c r="D457" s="610"/>
      <c r="E457" s="610"/>
      <c r="F457" s="610"/>
      <c r="G457" s="610"/>
      <c r="H457" s="610"/>
      <c r="I457" s="610"/>
      <c r="J457" s="610"/>
      <c r="K457" s="610"/>
      <c r="L457" s="6"/>
      <c r="M457" s="6"/>
      <c r="N457" s="6"/>
      <c r="O457" s="6"/>
      <c r="P457" s="6"/>
      <c r="Q457" s="6"/>
      <c r="R457" s="6"/>
      <c r="S457" s="6"/>
      <c r="T457" s="6"/>
      <c r="U457" s="7"/>
    </row>
    <row r="458" ht="13.75" customHeight="1">
      <c r="A458" s="5"/>
      <c r="B458" s="613"/>
      <c r="C458" s="609"/>
      <c r="D458" s="610"/>
      <c r="E458" s="610"/>
      <c r="F458" s="610"/>
      <c r="G458" s="610"/>
      <c r="H458" s="610"/>
      <c r="I458" s="610"/>
      <c r="J458" s="610"/>
      <c r="K458" s="610"/>
      <c r="L458" s="6"/>
      <c r="M458" s="6"/>
      <c r="N458" s="6"/>
      <c r="O458" s="6"/>
      <c r="P458" s="6"/>
      <c r="Q458" s="6"/>
      <c r="R458" s="6"/>
      <c r="S458" s="6"/>
      <c r="T458" s="6"/>
      <c r="U458" s="7"/>
    </row>
    <row r="459" ht="13.75" customHeight="1">
      <c r="A459" s="5"/>
      <c r="B459" s="613"/>
      <c r="C459" s="609"/>
      <c r="D459" s="610"/>
      <c r="E459" s="610"/>
      <c r="F459" s="610"/>
      <c r="G459" s="610"/>
      <c r="H459" s="610"/>
      <c r="I459" s="610"/>
      <c r="J459" s="610"/>
      <c r="K459" s="610"/>
      <c r="L459" s="6"/>
      <c r="M459" s="6"/>
      <c r="N459" s="6"/>
      <c r="O459" s="6"/>
      <c r="P459" s="6"/>
      <c r="Q459" s="6"/>
      <c r="R459" s="6"/>
      <c r="S459" s="6"/>
      <c r="T459" s="6"/>
      <c r="U459" s="7"/>
    </row>
    <row r="460" ht="13.75" customHeight="1">
      <c r="A460" s="5"/>
      <c r="B460" s="613"/>
      <c r="C460" s="609"/>
      <c r="D460" s="610"/>
      <c r="E460" s="610"/>
      <c r="F460" s="610"/>
      <c r="G460" s="610"/>
      <c r="H460" s="610"/>
      <c r="I460" s="610"/>
      <c r="J460" s="610"/>
      <c r="K460" s="610"/>
      <c r="L460" s="6"/>
      <c r="M460" s="6"/>
      <c r="N460" s="6"/>
      <c r="O460" s="6"/>
      <c r="P460" s="6"/>
      <c r="Q460" s="6"/>
      <c r="R460" s="6"/>
      <c r="S460" s="6"/>
      <c r="T460" s="6"/>
      <c r="U460" s="7"/>
    </row>
    <row r="461" ht="13.75" customHeight="1">
      <c r="A461" s="5"/>
      <c r="B461" s="613"/>
      <c r="C461" s="609"/>
      <c r="D461" s="610"/>
      <c r="E461" s="610"/>
      <c r="F461" s="610"/>
      <c r="G461" s="610"/>
      <c r="H461" s="610"/>
      <c r="I461" s="610"/>
      <c r="J461" s="610"/>
      <c r="K461" s="610"/>
      <c r="L461" s="6"/>
      <c r="M461" s="6"/>
      <c r="N461" s="6"/>
      <c r="O461" s="6"/>
      <c r="P461" s="6"/>
      <c r="Q461" s="6"/>
      <c r="R461" s="6"/>
      <c r="S461" s="6"/>
      <c r="T461" s="6"/>
      <c r="U461" s="7"/>
    </row>
    <row r="462" ht="13.75" customHeight="1">
      <c r="A462" s="5"/>
      <c r="B462" s="613"/>
      <c r="C462" s="609"/>
      <c r="D462" s="610"/>
      <c r="E462" s="610"/>
      <c r="F462" s="610"/>
      <c r="G462" s="610"/>
      <c r="H462" s="610"/>
      <c r="I462" s="610"/>
      <c r="J462" s="610"/>
      <c r="K462" s="610"/>
      <c r="L462" s="6"/>
      <c r="M462" s="6"/>
      <c r="N462" s="6"/>
      <c r="O462" s="6"/>
      <c r="P462" s="6"/>
      <c r="Q462" s="6"/>
      <c r="R462" s="6"/>
      <c r="S462" s="6"/>
      <c r="T462" s="6"/>
      <c r="U462" s="7"/>
    </row>
    <row r="463" ht="13.75" customHeight="1">
      <c r="A463" s="5"/>
      <c r="B463" s="613"/>
      <c r="C463" s="609"/>
      <c r="D463" s="610"/>
      <c r="E463" s="610"/>
      <c r="F463" s="610"/>
      <c r="G463" s="610"/>
      <c r="H463" s="610"/>
      <c r="I463" s="610"/>
      <c r="J463" s="610"/>
      <c r="K463" s="610"/>
      <c r="L463" s="6"/>
      <c r="M463" s="6"/>
      <c r="N463" s="6"/>
      <c r="O463" s="6"/>
      <c r="P463" s="6"/>
      <c r="Q463" s="6"/>
      <c r="R463" s="6"/>
      <c r="S463" s="6"/>
      <c r="T463" s="6"/>
      <c r="U463" s="7"/>
    </row>
    <row r="464" ht="13.75" customHeight="1">
      <c r="A464" s="5"/>
      <c r="B464" s="613"/>
      <c r="C464" s="609"/>
      <c r="D464" s="610"/>
      <c r="E464" s="610"/>
      <c r="F464" s="610"/>
      <c r="G464" s="610"/>
      <c r="H464" s="610"/>
      <c r="I464" s="610"/>
      <c r="J464" s="610"/>
      <c r="K464" s="610"/>
      <c r="L464" s="6"/>
      <c r="M464" s="6"/>
      <c r="N464" s="6"/>
      <c r="O464" s="6"/>
      <c r="P464" s="6"/>
      <c r="Q464" s="6"/>
      <c r="R464" s="6"/>
      <c r="S464" s="6"/>
      <c r="T464" s="6"/>
      <c r="U464" s="7"/>
    </row>
    <row r="465" ht="13.75" customHeight="1">
      <c r="A465" s="5"/>
      <c r="B465" s="613"/>
      <c r="C465" s="609"/>
      <c r="D465" s="610"/>
      <c r="E465" s="610"/>
      <c r="F465" s="610"/>
      <c r="G465" s="610"/>
      <c r="H465" s="610"/>
      <c r="I465" s="610"/>
      <c r="J465" s="610"/>
      <c r="K465" s="610"/>
      <c r="L465" s="6"/>
      <c r="M465" s="6"/>
      <c r="N465" s="6"/>
      <c r="O465" s="6"/>
      <c r="P465" s="6"/>
      <c r="Q465" s="6"/>
      <c r="R465" s="6"/>
      <c r="S465" s="6"/>
      <c r="T465" s="6"/>
      <c r="U465" s="7"/>
    </row>
    <row r="466" ht="13.75" customHeight="1">
      <c r="A466" s="5"/>
      <c r="B466" s="613"/>
      <c r="C466" s="609"/>
      <c r="D466" s="610"/>
      <c r="E466" s="610"/>
      <c r="F466" s="610"/>
      <c r="G466" s="610"/>
      <c r="H466" s="610"/>
      <c r="I466" s="610"/>
      <c r="J466" s="610"/>
      <c r="K466" s="610"/>
      <c r="L466" s="6"/>
      <c r="M466" s="6"/>
      <c r="N466" s="6"/>
      <c r="O466" s="6"/>
      <c r="P466" s="6"/>
      <c r="Q466" s="6"/>
      <c r="R466" s="6"/>
      <c r="S466" s="6"/>
      <c r="T466" s="6"/>
      <c r="U466" s="7"/>
    </row>
    <row r="467" ht="13.75" customHeight="1">
      <c r="A467" s="5"/>
      <c r="B467" s="613"/>
      <c r="C467" s="609"/>
      <c r="D467" s="610"/>
      <c r="E467" s="610"/>
      <c r="F467" s="610"/>
      <c r="G467" s="610"/>
      <c r="H467" s="610"/>
      <c r="I467" s="610"/>
      <c r="J467" s="610"/>
      <c r="K467" s="610"/>
      <c r="L467" s="6"/>
      <c r="M467" s="6"/>
      <c r="N467" s="6"/>
      <c r="O467" s="6"/>
      <c r="P467" s="6"/>
      <c r="Q467" s="6"/>
      <c r="R467" s="6"/>
      <c r="S467" s="6"/>
      <c r="T467" s="6"/>
      <c r="U467" s="7"/>
    </row>
    <row r="468" ht="13.75" customHeight="1">
      <c r="A468" s="5"/>
      <c r="B468" s="613"/>
      <c r="C468" s="609"/>
      <c r="D468" s="610"/>
      <c r="E468" s="610"/>
      <c r="F468" s="610"/>
      <c r="G468" s="610"/>
      <c r="H468" s="610"/>
      <c r="I468" s="610"/>
      <c r="J468" s="610"/>
      <c r="K468" s="610"/>
      <c r="L468" s="6"/>
      <c r="M468" s="6"/>
      <c r="N468" s="6"/>
      <c r="O468" s="6"/>
      <c r="P468" s="6"/>
      <c r="Q468" s="6"/>
      <c r="R468" s="6"/>
      <c r="S468" s="6"/>
      <c r="T468" s="6"/>
      <c r="U468" s="7"/>
    </row>
    <row r="469" ht="13.75" customHeight="1">
      <c r="A469" s="5"/>
      <c r="B469" s="613"/>
      <c r="C469" s="609"/>
      <c r="D469" s="610"/>
      <c r="E469" s="610"/>
      <c r="F469" s="610"/>
      <c r="G469" s="610"/>
      <c r="H469" s="610"/>
      <c r="I469" s="610"/>
      <c r="J469" s="610"/>
      <c r="K469" s="610"/>
      <c r="L469" s="6"/>
      <c r="M469" s="6"/>
      <c r="N469" s="6"/>
      <c r="O469" s="6"/>
      <c r="P469" s="6"/>
      <c r="Q469" s="6"/>
      <c r="R469" s="6"/>
      <c r="S469" s="6"/>
      <c r="T469" s="6"/>
      <c r="U469" s="7"/>
    </row>
    <row r="470" ht="13.75" customHeight="1">
      <c r="A470" s="5"/>
      <c r="B470" s="613"/>
      <c r="C470" s="609"/>
      <c r="D470" s="610"/>
      <c r="E470" s="610"/>
      <c r="F470" s="610"/>
      <c r="G470" s="610"/>
      <c r="H470" s="610"/>
      <c r="I470" s="610"/>
      <c r="J470" s="610"/>
      <c r="K470" s="610"/>
      <c r="L470" s="6"/>
      <c r="M470" s="6"/>
      <c r="N470" s="6"/>
      <c r="O470" s="6"/>
      <c r="P470" s="6"/>
      <c r="Q470" s="6"/>
      <c r="R470" s="6"/>
      <c r="S470" s="6"/>
      <c r="T470" s="6"/>
      <c r="U470" s="7"/>
    </row>
    <row r="471" ht="13.75" customHeight="1">
      <c r="A471" s="5"/>
      <c r="B471" s="613"/>
      <c r="C471" s="609"/>
      <c r="D471" s="610"/>
      <c r="E471" s="610"/>
      <c r="F471" s="610"/>
      <c r="G471" s="610"/>
      <c r="H471" s="610"/>
      <c r="I471" s="610"/>
      <c r="J471" s="610"/>
      <c r="K471" s="610"/>
      <c r="L471" s="6"/>
      <c r="M471" s="6"/>
      <c r="N471" s="6"/>
      <c r="O471" s="6"/>
      <c r="P471" s="6"/>
      <c r="Q471" s="6"/>
      <c r="R471" s="6"/>
      <c r="S471" s="6"/>
      <c r="T471" s="6"/>
      <c r="U471" s="7"/>
    </row>
    <row r="472" ht="13.75" customHeight="1">
      <c r="A472" s="5"/>
      <c r="B472" s="613"/>
      <c r="C472" s="609"/>
      <c r="D472" s="610"/>
      <c r="E472" s="610"/>
      <c r="F472" s="610"/>
      <c r="G472" s="610"/>
      <c r="H472" s="610"/>
      <c r="I472" s="610"/>
      <c r="J472" s="610"/>
      <c r="K472" s="610"/>
      <c r="L472" s="6"/>
      <c r="M472" s="6"/>
      <c r="N472" s="6"/>
      <c r="O472" s="6"/>
      <c r="P472" s="6"/>
      <c r="Q472" s="6"/>
      <c r="R472" s="6"/>
      <c r="S472" s="6"/>
      <c r="T472" s="6"/>
      <c r="U472" s="7"/>
    </row>
    <row r="473" ht="13.75" customHeight="1">
      <c r="A473" s="5"/>
      <c r="B473" s="613"/>
      <c r="C473" s="609"/>
      <c r="D473" s="610"/>
      <c r="E473" s="610"/>
      <c r="F473" s="610"/>
      <c r="G473" s="610"/>
      <c r="H473" s="610"/>
      <c r="I473" s="610"/>
      <c r="J473" s="610"/>
      <c r="K473" s="610"/>
      <c r="L473" s="6"/>
      <c r="M473" s="6"/>
      <c r="N473" s="6"/>
      <c r="O473" s="6"/>
      <c r="P473" s="6"/>
      <c r="Q473" s="6"/>
      <c r="R473" s="6"/>
      <c r="S473" s="6"/>
      <c r="T473" s="6"/>
      <c r="U473" s="7"/>
    </row>
    <row r="474" ht="13.75" customHeight="1">
      <c r="A474" s="5"/>
      <c r="B474" s="613"/>
      <c r="C474" s="609"/>
      <c r="D474" s="610"/>
      <c r="E474" s="610"/>
      <c r="F474" s="610"/>
      <c r="G474" s="610"/>
      <c r="H474" s="610"/>
      <c r="I474" s="610"/>
      <c r="J474" s="610"/>
      <c r="K474" s="610"/>
      <c r="L474" s="6"/>
      <c r="M474" s="6"/>
      <c r="N474" s="6"/>
      <c r="O474" s="6"/>
      <c r="P474" s="6"/>
      <c r="Q474" s="6"/>
      <c r="R474" s="6"/>
      <c r="S474" s="6"/>
      <c r="T474" s="6"/>
      <c r="U474" s="7"/>
    </row>
    <row r="475" ht="13.75" customHeight="1">
      <c r="A475" s="5"/>
      <c r="B475" s="613"/>
      <c r="C475" s="609"/>
      <c r="D475" s="610"/>
      <c r="E475" s="610"/>
      <c r="F475" s="610"/>
      <c r="G475" s="610"/>
      <c r="H475" s="610"/>
      <c r="I475" s="610"/>
      <c r="J475" s="610"/>
      <c r="K475" s="610"/>
      <c r="L475" s="6"/>
      <c r="M475" s="6"/>
      <c r="N475" s="6"/>
      <c r="O475" s="6"/>
      <c r="P475" s="6"/>
      <c r="Q475" s="6"/>
      <c r="R475" s="6"/>
      <c r="S475" s="6"/>
      <c r="T475" s="6"/>
      <c r="U475" s="7"/>
    </row>
    <row r="476" ht="13.75" customHeight="1">
      <c r="A476" s="5"/>
      <c r="B476" s="613"/>
      <c r="C476" s="609"/>
      <c r="D476" s="610"/>
      <c r="E476" s="610"/>
      <c r="F476" s="610"/>
      <c r="G476" s="610"/>
      <c r="H476" s="610"/>
      <c r="I476" s="610"/>
      <c r="J476" s="610"/>
      <c r="K476" s="610"/>
      <c r="L476" s="6"/>
      <c r="M476" s="6"/>
      <c r="N476" s="6"/>
      <c r="O476" s="6"/>
      <c r="P476" s="6"/>
      <c r="Q476" s="6"/>
      <c r="R476" s="6"/>
      <c r="S476" s="6"/>
      <c r="T476" s="6"/>
      <c r="U476" s="7"/>
    </row>
    <row r="477" ht="13.75" customHeight="1">
      <c r="A477" s="5"/>
      <c r="B477" s="613"/>
      <c r="C477" s="609"/>
      <c r="D477" s="610"/>
      <c r="E477" s="610"/>
      <c r="F477" s="610"/>
      <c r="G477" s="610"/>
      <c r="H477" s="610"/>
      <c r="I477" s="610"/>
      <c r="J477" s="610"/>
      <c r="K477" s="610"/>
      <c r="L477" s="6"/>
      <c r="M477" s="6"/>
      <c r="N477" s="6"/>
      <c r="O477" s="6"/>
      <c r="P477" s="6"/>
      <c r="Q477" s="6"/>
      <c r="R477" s="6"/>
      <c r="S477" s="6"/>
      <c r="T477" s="6"/>
      <c r="U477" s="7"/>
    </row>
    <row r="478" ht="13.75" customHeight="1">
      <c r="A478" s="5"/>
      <c r="B478" s="613"/>
      <c r="C478" s="609"/>
      <c r="D478" s="610"/>
      <c r="E478" s="610"/>
      <c r="F478" s="610"/>
      <c r="G478" s="610"/>
      <c r="H478" s="610"/>
      <c r="I478" s="610"/>
      <c r="J478" s="610"/>
      <c r="K478" s="610"/>
      <c r="L478" s="6"/>
      <c r="M478" s="6"/>
      <c r="N478" s="6"/>
      <c r="O478" s="6"/>
      <c r="P478" s="6"/>
      <c r="Q478" s="6"/>
      <c r="R478" s="6"/>
      <c r="S478" s="6"/>
      <c r="T478" s="6"/>
      <c r="U478" s="7"/>
    </row>
    <row r="479" ht="13.75" customHeight="1">
      <c r="A479" s="5"/>
      <c r="B479" s="613"/>
      <c r="C479" s="609"/>
      <c r="D479" s="610"/>
      <c r="E479" s="610"/>
      <c r="F479" s="610"/>
      <c r="G479" s="610"/>
      <c r="H479" s="610"/>
      <c r="I479" s="610"/>
      <c r="J479" s="610"/>
      <c r="K479" s="610"/>
      <c r="L479" s="6"/>
      <c r="M479" s="6"/>
      <c r="N479" s="6"/>
      <c r="O479" s="6"/>
      <c r="P479" s="6"/>
      <c r="Q479" s="6"/>
      <c r="R479" s="6"/>
      <c r="S479" s="6"/>
      <c r="T479" s="6"/>
      <c r="U479" s="7"/>
    </row>
    <row r="480" ht="13.75" customHeight="1">
      <c r="A480" s="5"/>
      <c r="B480" s="613"/>
      <c r="C480" s="609"/>
      <c r="D480" s="610"/>
      <c r="E480" s="610"/>
      <c r="F480" s="610"/>
      <c r="G480" s="610"/>
      <c r="H480" s="610"/>
      <c r="I480" s="610"/>
      <c r="J480" s="610"/>
      <c r="K480" s="610"/>
      <c r="L480" s="6"/>
      <c r="M480" s="6"/>
      <c r="N480" s="6"/>
      <c r="O480" s="6"/>
      <c r="P480" s="6"/>
      <c r="Q480" s="6"/>
      <c r="R480" s="6"/>
      <c r="S480" s="6"/>
      <c r="T480" s="6"/>
      <c r="U480" s="7"/>
    </row>
    <row r="481" ht="13.75" customHeight="1">
      <c r="A481" s="5"/>
      <c r="B481" s="613"/>
      <c r="C481" s="609"/>
      <c r="D481" s="610"/>
      <c r="E481" s="610"/>
      <c r="F481" s="610"/>
      <c r="G481" s="610"/>
      <c r="H481" s="610"/>
      <c r="I481" s="610"/>
      <c r="J481" s="610"/>
      <c r="K481" s="610"/>
      <c r="L481" s="6"/>
      <c r="M481" s="6"/>
      <c r="N481" s="6"/>
      <c r="O481" s="6"/>
      <c r="P481" s="6"/>
      <c r="Q481" s="6"/>
      <c r="R481" s="6"/>
      <c r="S481" s="6"/>
      <c r="T481" s="6"/>
      <c r="U481" s="7"/>
    </row>
    <row r="482" ht="13.75" customHeight="1">
      <c r="A482" s="5"/>
      <c r="B482" s="613"/>
      <c r="C482" s="609"/>
      <c r="D482" s="610"/>
      <c r="E482" s="610"/>
      <c r="F482" s="610"/>
      <c r="G482" s="610"/>
      <c r="H482" s="610"/>
      <c r="I482" s="610"/>
      <c r="J482" s="610"/>
      <c r="K482" s="610"/>
      <c r="L482" s="6"/>
      <c r="M482" s="6"/>
      <c r="N482" s="6"/>
      <c r="O482" s="6"/>
      <c r="P482" s="6"/>
      <c r="Q482" s="6"/>
      <c r="R482" s="6"/>
      <c r="S482" s="6"/>
      <c r="T482" s="6"/>
      <c r="U482" s="7"/>
    </row>
    <row r="483" ht="13.75" customHeight="1">
      <c r="A483" s="5"/>
      <c r="B483" s="613"/>
      <c r="C483" s="609"/>
      <c r="D483" s="610"/>
      <c r="E483" s="610"/>
      <c r="F483" s="610"/>
      <c r="G483" s="610"/>
      <c r="H483" s="610"/>
      <c r="I483" s="610"/>
      <c r="J483" s="610"/>
      <c r="K483" s="610"/>
      <c r="L483" s="6"/>
      <c r="M483" s="6"/>
      <c r="N483" s="6"/>
      <c r="O483" s="6"/>
      <c r="P483" s="6"/>
      <c r="Q483" s="6"/>
      <c r="R483" s="6"/>
      <c r="S483" s="6"/>
      <c r="T483" s="6"/>
      <c r="U483" s="7"/>
    </row>
    <row r="484" ht="13.75" customHeight="1">
      <c r="A484" s="5"/>
      <c r="B484" s="613"/>
      <c r="C484" s="609"/>
      <c r="D484" s="610"/>
      <c r="E484" s="610"/>
      <c r="F484" s="610"/>
      <c r="G484" s="610"/>
      <c r="H484" s="610"/>
      <c r="I484" s="610"/>
      <c r="J484" s="610"/>
      <c r="K484" s="610"/>
      <c r="L484" s="6"/>
      <c r="M484" s="6"/>
      <c r="N484" s="6"/>
      <c r="O484" s="6"/>
      <c r="P484" s="6"/>
      <c r="Q484" s="6"/>
      <c r="R484" s="6"/>
      <c r="S484" s="6"/>
      <c r="T484" s="6"/>
      <c r="U484" s="7"/>
    </row>
    <row r="485" ht="13.75" customHeight="1">
      <c r="A485" s="5"/>
      <c r="B485" s="613"/>
      <c r="C485" s="609"/>
      <c r="D485" s="610"/>
      <c r="E485" s="610"/>
      <c r="F485" s="610"/>
      <c r="G485" s="610"/>
      <c r="H485" s="610"/>
      <c r="I485" s="610"/>
      <c r="J485" s="610"/>
      <c r="K485" s="610"/>
      <c r="L485" s="6"/>
      <c r="M485" s="6"/>
      <c r="N485" s="6"/>
      <c r="O485" s="6"/>
      <c r="P485" s="6"/>
      <c r="Q485" s="6"/>
      <c r="R485" s="6"/>
      <c r="S485" s="6"/>
      <c r="T485" s="6"/>
      <c r="U485" s="7"/>
    </row>
    <row r="486" ht="13.75" customHeight="1">
      <c r="A486" s="5"/>
      <c r="B486" s="613"/>
      <c r="C486" s="609"/>
      <c r="D486" s="610"/>
      <c r="E486" s="610"/>
      <c r="F486" s="610"/>
      <c r="G486" s="610"/>
      <c r="H486" s="610"/>
      <c r="I486" s="610"/>
      <c r="J486" s="610"/>
      <c r="K486" s="610"/>
      <c r="L486" s="6"/>
      <c r="M486" s="6"/>
      <c r="N486" s="6"/>
      <c r="O486" s="6"/>
      <c r="P486" s="6"/>
      <c r="Q486" s="6"/>
      <c r="R486" s="6"/>
      <c r="S486" s="6"/>
      <c r="T486" s="6"/>
      <c r="U486" s="7"/>
    </row>
    <row r="487" ht="13.75" customHeight="1">
      <c r="A487" s="5"/>
      <c r="B487" s="613"/>
      <c r="C487" s="609"/>
      <c r="D487" s="610"/>
      <c r="E487" s="610"/>
      <c r="F487" s="610"/>
      <c r="G487" s="610"/>
      <c r="H487" s="610"/>
      <c r="I487" s="610"/>
      <c r="J487" s="610"/>
      <c r="K487" s="610"/>
      <c r="L487" s="6"/>
      <c r="M487" s="6"/>
      <c r="N487" s="6"/>
      <c r="O487" s="6"/>
      <c r="P487" s="6"/>
      <c r="Q487" s="6"/>
      <c r="R487" s="6"/>
      <c r="S487" s="6"/>
      <c r="T487" s="6"/>
      <c r="U487" s="7"/>
    </row>
    <row r="488" ht="13.75" customHeight="1">
      <c r="A488" s="5"/>
      <c r="B488" s="613"/>
      <c r="C488" s="609"/>
      <c r="D488" s="610"/>
      <c r="E488" s="610"/>
      <c r="F488" s="610"/>
      <c r="G488" s="610"/>
      <c r="H488" s="610"/>
      <c r="I488" s="610"/>
      <c r="J488" s="610"/>
      <c r="K488" s="610"/>
      <c r="L488" s="6"/>
      <c r="M488" s="6"/>
      <c r="N488" s="6"/>
      <c r="O488" s="6"/>
      <c r="P488" s="6"/>
      <c r="Q488" s="6"/>
      <c r="R488" s="6"/>
      <c r="S488" s="6"/>
      <c r="T488" s="6"/>
      <c r="U488" s="7"/>
    </row>
    <row r="489" ht="13.75" customHeight="1">
      <c r="A489" s="5"/>
      <c r="B489" s="613"/>
      <c r="C489" s="609"/>
      <c r="D489" s="610"/>
      <c r="E489" s="610"/>
      <c r="F489" s="610"/>
      <c r="G489" s="610"/>
      <c r="H489" s="610"/>
      <c r="I489" s="610"/>
      <c r="J489" s="610"/>
      <c r="K489" s="610"/>
      <c r="L489" s="6"/>
      <c r="M489" s="6"/>
      <c r="N489" s="6"/>
      <c r="O489" s="6"/>
      <c r="P489" s="6"/>
      <c r="Q489" s="6"/>
      <c r="R489" s="6"/>
      <c r="S489" s="6"/>
      <c r="T489" s="6"/>
      <c r="U489" s="7"/>
    </row>
    <row r="490" ht="13.75" customHeight="1">
      <c r="A490" s="5"/>
      <c r="B490" s="613"/>
      <c r="C490" s="609"/>
      <c r="D490" s="610"/>
      <c r="E490" s="610"/>
      <c r="F490" s="610"/>
      <c r="G490" s="610"/>
      <c r="H490" s="610"/>
      <c r="I490" s="610"/>
      <c r="J490" s="610"/>
      <c r="K490" s="610"/>
      <c r="L490" s="6"/>
      <c r="M490" s="6"/>
      <c r="N490" s="6"/>
      <c r="O490" s="6"/>
      <c r="P490" s="6"/>
      <c r="Q490" s="6"/>
      <c r="R490" s="6"/>
      <c r="S490" s="6"/>
      <c r="T490" s="6"/>
      <c r="U490" s="7"/>
    </row>
    <row r="491" ht="13.75" customHeight="1">
      <c r="A491" s="5"/>
      <c r="B491" s="613"/>
      <c r="C491" s="609"/>
      <c r="D491" s="610"/>
      <c r="E491" s="610"/>
      <c r="F491" s="610"/>
      <c r="G491" s="610"/>
      <c r="H491" s="610"/>
      <c r="I491" s="610"/>
      <c r="J491" s="610"/>
      <c r="K491" s="610"/>
      <c r="L491" s="6"/>
      <c r="M491" s="6"/>
      <c r="N491" s="6"/>
      <c r="O491" s="6"/>
      <c r="P491" s="6"/>
      <c r="Q491" s="6"/>
      <c r="R491" s="6"/>
      <c r="S491" s="6"/>
      <c r="T491" s="6"/>
      <c r="U491" s="7"/>
    </row>
    <row r="492" ht="13.75" customHeight="1">
      <c r="A492" s="5"/>
      <c r="B492" s="613"/>
      <c r="C492" s="609"/>
      <c r="D492" s="610"/>
      <c r="E492" s="610"/>
      <c r="F492" s="610"/>
      <c r="G492" s="610"/>
      <c r="H492" s="610"/>
      <c r="I492" s="610"/>
      <c r="J492" s="610"/>
      <c r="K492" s="610"/>
      <c r="L492" s="6"/>
      <c r="M492" s="6"/>
      <c r="N492" s="6"/>
      <c r="O492" s="6"/>
      <c r="P492" s="6"/>
      <c r="Q492" s="6"/>
      <c r="R492" s="6"/>
      <c r="S492" s="6"/>
      <c r="T492" s="6"/>
      <c r="U492" s="7"/>
    </row>
    <row r="493" ht="13.75" customHeight="1">
      <c r="A493" s="5"/>
      <c r="B493" s="613"/>
      <c r="C493" s="609"/>
      <c r="D493" s="610"/>
      <c r="E493" s="610"/>
      <c r="F493" s="610"/>
      <c r="G493" s="610"/>
      <c r="H493" s="610"/>
      <c r="I493" s="610"/>
      <c r="J493" s="610"/>
      <c r="K493" s="610"/>
      <c r="L493" s="6"/>
      <c r="M493" s="6"/>
      <c r="N493" s="6"/>
      <c r="O493" s="6"/>
      <c r="P493" s="6"/>
      <c r="Q493" s="6"/>
      <c r="R493" s="6"/>
      <c r="S493" s="6"/>
      <c r="T493" s="6"/>
      <c r="U493" s="7"/>
    </row>
    <row r="494" ht="13.75" customHeight="1">
      <c r="A494" s="5"/>
      <c r="B494" s="613"/>
      <c r="C494" s="609"/>
      <c r="D494" s="610"/>
      <c r="E494" s="610"/>
      <c r="F494" s="610"/>
      <c r="G494" s="610"/>
      <c r="H494" s="610"/>
      <c r="I494" s="610"/>
      <c r="J494" s="610"/>
      <c r="K494" s="610"/>
      <c r="L494" s="6"/>
      <c r="M494" s="6"/>
      <c r="N494" s="6"/>
      <c r="O494" s="6"/>
      <c r="P494" s="6"/>
      <c r="Q494" s="6"/>
      <c r="R494" s="6"/>
      <c r="S494" s="6"/>
      <c r="T494" s="6"/>
      <c r="U494" s="7"/>
    </row>
    <row r="495" ht="13.75" customHeight="1">
      <c r="A495" s="5"/>
      <c r="B495" s="613"/>
      <c r="C495" s="609"/>
      <c r="D495" s="610"/>
      <c r="E495" s="610"/>
      <c r="F495" s="610"/>
      <c r="G495" s="610"/>
      <c r="H495" s="610"/>
      <c r="I495" s="610"/>
      <c r="J495" s="610"/>
      <c r="K495" s="610"/>
      <c r="L495" s="6"/>
      <c r="M495" s="6"/>
      <c r="N495" s="6"/>
      <c r="O495" s="6"/>
      <c r="P495" s="6"/>
      <c r="Q495" s="6"/>
      <c r="R495" s="6"/>
      <c r="S495" s="6"/>
      <c r="T495" s="6"/>
      <c r="U495" s="7"/>
    </row>
    <row r="496" ht="13.75" customHeight="1">
      <c r="A496" s="5"/>
      <c r="B496" s="613"/>
      <c r="C496" s="609"/>
      <c r="D496" s="610"/>
      <c r="E496" s="610"/>
      <c r="F496" s="610"/>
      <c r="G496" s="610"/>
      <c r="H496" s="610"/>
      <c r="I496" s="610"/>
      <c r="J496" s="610"/>
      <c r="K496" s="610"/>
      <c r="L496" s="6"/>
      <c r="M496" s="6"/>
      <c r="N496" s="6"/>
      <c r="O496" s="6"/>
      <c r="P496" s="6"/>
      <c r="Q496" s="6"/>
      <c r="R496" s="6"/>
      <c r="S496" s="6"/>
      <c r="T496" s="6"/>
      <c r="U496" s="7"/>
    </row>
    <row r="497" ht="13.75" customHeight="1">
      <c r="A497" s="5"/>
      <c r="B497" s="613"/>
      <c r="C497" s="609"/>
      <c r="D497" s="610"/>
      <c r="E497" s="610"/>
      <c r="F497" s="610"/>
      <c r="G497" s="610"/>
      <c r="H497" s="610"/>
      <c r="I497" s="610"/>
      <c r="J497" s="610"/>
      <c r="K497" s="610"/>
      <c r="L497" s="6"/>
      <c r="M497" s="6"/>
      <c r="N497" s="6"/>
      <c r="O497" s="6"/>
      <c r="P497" s="6"/>
      <c r="Q497" s="6"/>
      <c r="R497" s="6"/>
      <c r="S497" s="6"/>
      <c r="T497" s="6"/>
      <c r="U497" s="7"/>
    </row>
    <row r="498" ht="13.75" customHeight="1">
      <c r="A498" s="5"/>
      <c r="B498" s="613"/>
      <c r="C498" s="609"/>
      <c r="D498" s="610"/>
      <c r="E498" s="610"/>
      <c r="F498" s="610"/>
      <c r="G498" s="610"/>
      <c r="H498" s="610"/>
      <c r="I498" s="610"/>
      <c r="J498" s="610"/>
      <c r="K498" s="610"/>
      <c r="L498" s="6"/>
      <c r="M498" s="6"/>
      <c r="N498" s="6"/>
      <c r="O498" s="6"/>
      <c r="P498" s="6"/>
      <c r="Q498" s="6"/>
      <c r="R498" s="6"/>
      <c r="S498" s="6"/>
      <c r="T498" s="6"/>
      <c r="U498" s="7"/>
    </row>
    <row r="499" ht="13.75" customHeight="1">
      <c r="A499" s="15"/>
      <c r="B499" s="614"/>
      <c r="C499" s="615"/>
      <c r="D499" s="616"/>
      <c r="E499" s="616"/>
      <c r="F499" s="616"/>
      <c r="G499" s="616"/>
      <c r="H499" s="616"/>
      <c r="I499" s="616"/>
      <c r="J499" s="616"/>
      <c r="K499" s="616"/>
      <c r="L499" s="16"/>
      <c r="M499" s="16"/>
      <c r="N499" s="16"/>
      <c r="O499" s="16"/>
      <c r="P499" s="16"/>
      <c r="Q499" s="16"/>
      <c r="R499" s="16"/>
      <c r="S499" s="16"/>
      <c r="T499" s="16"/>
      <c r="U499" s="617"/>
    </row>
  </sheetData>
  <mergeCells count="3">
    <mergeCell ref="C6:E6"/>
    <mergeCell ref="I6:K6"/>
    <mergeCell ref="D14:E14"/>
  </mergeCells>
  <pageMargins left="0.5" right="0.5" top="0.5" bottom="0.5" header="0.5" footer="0.5"/>
  <pageSetup firstPageNumber="1" fitToHeight="1" fitToWidth="1" scale="80" useFirstPageNumber="0" orientation="landscape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AB37"/>
  <sheetViews>
    <sheetView workbookViewId="0" showGridLines="0" defaultGridColor="1"/>
  </sheetViews>
  <sheetFormatPr defaultColWidth="9" defaultRowHeight="10.5" customHeight="1" outlineLevelRow="0" outlineLevelCol="0"/>
  <cols>
    <col min="1" max="1" width="2.75" style="618" customWidth="1"/>
    <col min="2" max="2" width="31.5" style="618" customWidth="1"/>
    <col min="3" max="3" width="10.75" style="618" customWidth="1"/>
    <col min="4" max="4" width="9.75" style="618" customWidth="1"/>
    <col min="5" max="6" width="13.75" style="618" customWidth="1"/>
    <col min="7" max="7" width="17.25" style="618" customWidth="1"/>
    <col min="8" max="17" width="13.75" style="618" customWidth="1"/>
    <col min="18" max="21" width="14.5" style="618" customWidth="1"/>
    <col min="22" max="28" width="9" style="618" customWidth="1"/>
    <col min="29" max="16384" width="9" style="618" customWidth="1"/>
  </cols>
  <sheetData>
    <row r="1" ht="13.15" customHeight="1">
      <c r="A1" s="19"/>
      <c r="B1" s="619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"/>
      <c r="W1" s="21"/>
      <c r="X1" s="21"/>
      <c r="Y1" s="21"/>
      <c r="Z1" s="21"/>
      <c r="AA1" s="21"/>
      <c r="AB1" s="22"/>
    </row>
    <row r="2" ht="13.15" customHeight="1">
      <c r="A2" s="23"/>
      <c r="B2" t="s" s="620">
        <v>297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8"/>
      <c r="W2" s="8"/>
      <c r="X2" s="8"/>
      <c r="Y2" s="8"/>
      <c r="Z2" s="8"/>
      <c r="AA2" s="8"/>
      <c r="AB2" s="25"/>
    </row>
    <row r="3" ht="13" customHeight="1">
      <c r="A3" s="23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25"/>
    </row>
    <row r="4" ht="10.9" customHeight="1">
      <c r="A4" s="23"/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8"/>
      <c r="W4" s="8"/>
      <c r="X4" s="8"/>
      <c r="Y4" s="8"/>
      <c r="Z4" s="8"/>
      <c r="AA4" s="8"/>
      <c r="AB4" s="25"/>
    </row>
    <row r="5" ht="13.5" customHeight="1">
      <c r="A5" s="260"/>
      <c r="B5" t="s" s="346">
        <v>298</v>
      </c>
      <c r="C5" s="621"/>
      <c r="D5" s="622"/>
      <c r="E5" t="s" s="220">
        <v>29</v>
      </c>
      <c r="F5" s="623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5"/>
      <c r="V5" s="264"/>
      <c r="W5" s="8"/>
      <c r="X5" s="8"/>
      <c r="Y5" s="8"/>
      <c r="Z5" s="8"/>
      <c r="AA5" s="8"/>
      <c r="AB5" s="25"/>
    </row>
    <row r="6" ht="13.5" customHeight="1">
      <c r="A6" s="260"/>
      <c r="B6" s="352"/>
      <c r="C6" t="s" s="353">
        <v>113</v>
      </c>
      <c r="D6" s="354"/>
      <c r="E6" t="s" s="225">
        <v>31</v>
      </c>
      <c r="F6" s="226">
        <v>43313</v>
      </c>
      <c r="G6" s="226">
        <v>43344</v>
      </c>
      <c r="H6" s="226">
        <v>43374</v>
      </c>
      <c r="I6" s="226">
        <v>43405</v>
      </c>
      <c r="J6" s="226">
        <v>43435</v>
      </c>
      <c r="K6" s="226">
        <v>43466</v>
      </c>
      <c r="L6" s="226">
        <v>43497</v>
      </c>
      <c r="M6" s="226">
        <v>43525</v>
      </c>
      <c r="N6" s="226">
        <v>43556</v>
      </c>
      <c r="O6" s="226">
        <v>43586</v>
      </c>
      <c r="P6" s="226">
        <v>43617</v>
      </c>
      <c r="Q6" t="s" s="227">
        <v>114</v>
      </c>
      <c r="R6" s="274">
        <v>43983</v>
      </c>
      <c r="S6" s="274">
        <v>44348</v>
      </c>
      <c r="T6" s="274">
        <v>44713</v>
      </c>
      <c r="U6" s="275">
        <v>45078</v>
      </c>
      <c r="V6" s="264"/>
      <c r="W6" s="8"/>
      <c r="X6" s="8"/>
      <c r="Y6" s="8"/>
      <c r="Z6" s="8"/>
      <c r="AA6" s="8"/>
      <c r="AB6" s="25"/>
    </row>
    <row r="7" ht="13.15" customHeight="1">
      <c r="A7" s="260"/>
      <c r="B7" s="626"/>
      <c r="C7" s="356"/>
      <c r="D7" s="356"/>
      <c r="E7" t="s" s="231">
        <v>115</v>
      </c>
      <c r="F7" t="s" s="231">
        <v>115</v>
      </c>
      <c r="G7" t="s" s="231">
        <v>115</v>
      </c>
      <c r="H7" t="s" s="231">
        <v>115</v>
      </c>
      <c r="I7" t="s" s="231">
        <v>115</v>
      </c>
      <c r="J7" t="s" s="231">
        <v>115</v>
      </c>
      <c r="K7" t="s" s="231">
        <v>115</v>
      </c>
      <c r="L7" t="s" s="231">
        <v>115</v>
      </c>
      <c r="M7" t="s" s="231">
        <v>115</v>
      </c>
      <c r="N7" t="s" s="231">
        <v>115</v>
      </c>
      <c r="O7" t="s" s="231">
        <v>115</v>
      </c>
      <c r="P7" t="s" s="231">
        <v>115</v>
      </c>
      <c r="Q7" t="s" s="231">
        <v>115</v>
      </c>
      <c r="R7" t="s" s="231">
        <v>115</v>
      </c>
      <c r="S7" t="s" s="231">
        <v>115</v>
      </c>
      <c r="T7" t="s" s="231">
        <v>115</v>
      </c>
      <c r="U7" t="s" s="357">
        <v>115</v>
      </c>
      <c r="V7" s="264"/>
      <c r="W7" s="8"/>
      <c r="X7" s="8"/>
      <c r="Y7" s="8"/>
      <c r="Z7" s="8"/>
      <c r="AA7" s="8"/>
      <c r="AB7" s="25"/>
    </row>
    <row r="8" ht="13.15" customHeight="1">
      <c r="A8" s="260"/>
      <c r="B8" s="627"/>
      <c r="C8" s="233"/>
      <c r="D8" s="233"/>
      <c r="E8" s="233"/>
      <c r="F8" s="233"/>
      <c r="G8" s="233"/>
      <c r="H8" s="233"/>
      <c r="I8" s="232"/>
      <c r="J8" s="232"/>
      <c r="K8" s="232"/>
      <c r="L8" s="232"/>
      <c r="M8" s="232"/>
      <c r="N8" s="232"/>
      <c r="O8" s="232"/>
      <c r="P8" s="232"/>
      <c r="Q8" s="234"/>
      <c r="R8" s="234"/>
      <c r="S8" s="234"/>
      <c r="T8" s="234"/>
      <c r="U8" s="628"/>
      <c r="V8" s="264"/>
      <c r="W8" s="8"/>
      <c r="X8" s="8"/>
      <c r="Y8" s="8"/>
      <c r="Z8" s="8"/>
      <c r="AA8" s="8"/>
      <c r="AB8" s="25"/>
    </row>
    <row r="9" ht="13.15" customHeight="1">
      <c r="A9" s="260"/>
      <c r="B9" t="s" s="359">
        <v>299</v>
      </c>
      <c r="C9" t="s" s="419">
        <v>222</v>
      </c>
      <c r="D9" s="504"/>
      <c r="E9" s="237">
        <f>'Notes A&amp;B - Revenue &amp; COGS'!E9</f>
        <v>0</v>
      </c>
      <c r="F9" s="237">
        <f>'Key Assumptions &amp; Drivers'!E38</f>
        <v>6572.84705728</v>
      </c>
      <c r="G9" s="237">
        <f>'Key Assumptions &amp; Drivers'!F38</f>
        <v>6822.84705728</v>
      </c>
      <c r="H9" s="237">
        <f>'Key Assumptions &amp; Drivers'!G38</f>
        <v>7072.84705728</v>
      </c>
      <c r="I9" s="237">
        <f>'Key Assumptions &amp; Drivers'!H38</f>
        <v>7322.84705728</v>
      </c>
      <c r="J9" s="237">
        <f>'Key Assumptions &amp; Drivers'!I38</f>
        <v>7572.84705728</v>
      </c>
      <c r="K9" s="237">
        <f>'Key Assumptions &amp; Drivers'!J38</f>
        <v>7949.3039984256</v>
      </c>
      <c r="L9" s="237">
        <f>'Key Assumptions &amp; Drivers'!K38</f>
        <v>8199.303998425599</v>
      </c>
      <c r="M9" s="237">
        <f>'Key Assumptions &amp; Drivers'!L38</f>
        <v>8449.303998425599</v>
      </c>
      <c r="N9" s="237">
        <f>'Key Assumptions &amp; Drivers'!M38</f>
        <v>8699.303998425599</v>
      </c>
      <c r="O9" s="237">
        <f>'Key Assumptions &amp; Drivers'!N38</f>
        <v>8949.303998425599</v>
      </c>
      <c r="P9" s="237">
        <f>'Key Assumptions &amp; Drivers'!O38</f>
        <v>9199.303998425599</v>
      </c>
      <c r="Q9" s="237">
        <f>SUM(E9:P9)</f>
        <v>86810.0592769536</v>
      </c>
      <c r="R9" s="237">
        <f>'Key Assumptions &amp; Drivers'!P38</f>
        <v>114939.480940729</v>
      </c>
      <c r="S9" s="237">
        <f>'Key Assumptions &amp; Drivers'!Q38</f>
        <v>119398.270559544</v>
      </c>
      <c r="T9" s="237">
        <f>'Key Assumptions &amp; Drivers'!R38</f>
        <v>124119.035970735</v>
      </c>
      <c r="U9" s="629">
        <f>'Key Assumptions &amp; Drivers'!S38</f>
        <v>129120.840690149</v>
      </c>
      <c r="V9" s="264"/>
      <c r="W9" s="8"/>
      <c r="X9" s="8"/>
      <c r="Y9" s="8"/>
      <c r="Z9" s="8"/>
      <c r="AA9" s="8"/>
      <c r="AB9" s="25"/>
    </row>
    <row r="10" ht="13.5" customHeight="1">
      <c r="A10" s="260"/>
      <c r="B10" t="s" s="630">
        <v>300</v>
      </c>
      <c r="C10" s="375"/>
      <c r="D10" s="375"/>
      <c r="E10" s="376">
        <f>$C10</f>
        <v>0</v>
      </c>
      <c r="F10" s="376">
        <f>F11/F9</f>
        <v>12.8625232149149</v>
      </c>
      <c r="G10" s="376">
        <f>G11/G9</f>
        <v>12.7721898396311</v>
      </c>
      <c r="H10" s="376">
        <f>H11/H9</f>
        <v>12.6882423917224</v>
      </c>
      <c r="I10" s="376">
        <f>I11/I9</f>
        <v>12.6100268297353</v>
      </c>
      <c r="J10" s="376">
        <f>J11/J9</f>
        <v>12.5369754788696</v>
      </c>
      <c r="K10" s="376">
        <f>K11/K9</f>
        <v>12.4764104932002</v>
      </c>
      <c r="L10" s="376">
        <f>L11/L9</f>
        <v>12.4130145484469</v>
      </c>
      <c r="M10" s="376">
        <f>M11/M9</f>
        <v>12.3533701520321</v>
      </c>
      <c r="N10" s="376">
        <f>N11/N9</f>
        <v>12.2971538687413</v>
      </c>
      <c r="O10" s="376">
        <f>O11/O9</f>
        <v>12.2440784041835</v>
      </c>
      <c r="P10" s="376">
        <f>P11/P9</f>
        <v>12.1938876939814</v>
      </c>
      <c r="Q10" s="376">
        <f>Q11/Q9</f>
        <v>12.4728882487559</v>
      </c>
      <c r="R10" s="376">
        <f>R11/R9</f>
        <v>12.1573097560135</v>
      </c>
      <c r="S10" s="376">
        <f>S11/S9</f>
        <v>12.1254681132897</v>
      </c>
      <c r="T10" s="376">
        <f>T11/T9</f>
        <v>12.0929855547268</v>
      </c>
      <c r="U10" s="631">
        <f>U11/U9</f>
        <v>12.0598971485285</v>
      </c>
      <c r="V10" s="264"/>
      <c r="W10" s="8"/>
      <c r="X10" s="8"/>
      <c r="Y10" s="8"/>
      <c r="Z10" s="8"/>
      <c r="AA10" s="8"/>
      <c r="AB10" s="25"/>
    </row>
    <row r="11" ht="13.5" customHeight="1">
      <c r="A11" s="260"/>
      <c r="B11" t="s" s="632">
        <v>301</v>
      </c>
      <c r="C11" s="633"/>
      <c r="D11" s="633"/>
      <c r="E11" s="634">
        <f>E9*E10</f>
        <v>0</v>
      </c>
      <c r="F11" s="634">
        <f>'Notes A&amp;B - Revenue &amp; COGS'!F15</f>
        <v>84543.397862348793</v>
      </c>
      <c r="G11" s="634">
        <f>'Notes A&amp;B - Revenue &amp; COGS'!G15</f>
        <v>87142.6978623488</v>
      </c>
      <c r="H11" s="634">
        <f>'Notes A&amp;B - Revenue &amp; COGS'!H15</f>
        <v>89741.9978623488</v>
      </c>
      <c r="I11" s="634">
        <f>'Notes A&amp;B - Revenue &amp; COGS'!I15</f>
        <v>92341.2978623488</v>
      </c>
      <c r="J11" s="634">
        <f>'Notes A&amp;B - Revenue &amp; COGS'!J15</f>
        <v>94940.5978623488</v>
      </c>
      <c r="K11" s="634">
        <f>'Notes A&amp;B - Revenue &amp; COGS'!K15</f>
        <v>99178.7798195958</v>
      </c>
      <c r="L11" s="634">
        <f>'Notes A&amp;B - Revenue &amp; COGS'!L15</f>
        <v>101778.079819596</v>
      </c>
      <c r="M11" s="634">
        <f>'Notes A&amp;B - Revenue &amp; COGS'!M15</f>
        <v>104377.379819596</v>
      </c>
      <c r="N11" s="634">
        <f>'Notes A&amp;B - Revenue &amp; COGS'!N15</f>
        <v>106976.679819596</v>
      </c>
      <c r="O11" s="634">
        <f>'Notes A&amp;B - Revenue &amp; COGS'!O15</f>
        <v>109575.979819596</v>
      </c>
      <c r="P11" s="634">
        <f>'Notes A&amp;B - Revenue &amp; COGS'!P15</f>
        <v>112175.279819596</v>
      </c>
      <c r="Q11" s="634">
        <f>'Notes A&amp;B - Revenue &amp; COGS'!Q15</f>
        <v>1082772.16822932</v>
      </c>
      <c r="R11" s="634">
        <f>'Notes A&amp;B - Revenue &amp; COGS'!R15</f>
        <v>1397354.87299185</v>
      </c>
      <c r="S11" s="634">
        <f>'Notes A&amp;B - Revenue &amp; COGS'!S15</f>
        <v>1447759.92245169</v>
      </c>
      <c r="T11" s="634">
        <f>'Notes A&amp;B - Revenue &amp; COGS'!T15</f>
        <v>1500969.70906072</v>
      </c>
      <c r="U11" s="635">
        <f>'Notes A&amp;B - Revenue &amp; COGS'!U15</f>
        <v>1557184.05845473</v>
      </c>
      <c r="V11" s="264"/>
      <c r="W11" s="8"/>
      <c r="X11" s="8"/>
      <c r="Y11" s="8"/>
      <c r="Z11" s="8"/>
      <c r="AA11" s="8"/>
      <c r="AB11" s="25"/>
    </row>
    <row r="12" ht="13.15" customHeight="1">
      <c r="A12" s="260"/>
      <c r="B12" s="382"/>
      <c r="C12" s="636"/>
      <c r="D12" s="636"/>
      <c r="E12" s="637"/>
      <c r="F12" s="637"/>
      <c r="G12" s="637"/>
      <c r="H12" s="637"/>
      <c r="I12" s="637"/>
      <c r="J12" s="637"/>
      <c r="K12" s="637"/>
      <c r="L12" s="637"/>
      <c r="M12" s="637"/>
      <c r="N12" s="637"/>
      <c r="O12" s="637"/>
      <c r="P12" s="637"/>
      <c r="Q12" s="637"/>
      <c r="R12" s="637"/>
      <c r="S12" s="637"/>
      <c r="T12" s="637"/>
      <c r="U12" s="638"/>
      <c r="V12" s="264"/>
      <c r="W12" s="8"/>
      <c r="X12" s="8"/>
      <c r="Y12" s="8"/>
      <c r="Z12" s="8"/>
      <c r="AA12" s="8"/>
      <c r="AB12" s="25"/>
    </row>
    <row r="13" ht="13.15" customHeight="1">
      <c r="A13" s="260"/>
      <c r="B13" s="639"/>
      <c r="C13" s="640"/>
      <c r="D13" s="640"/>
      <c r="E13" s="641"/>
      <c r="F13" s="641"/>
      <c r="G13" s="641"/>
      <c r="H13" s="641"/>
      <c r="I13" s="641"/>
      <c r="J13" s="641"/>
      <c r="K13" s="641"/>
      <c r="L13" s="641"/>
      <c r="M13" s="641"/>
      <c r="N13" s="641"/>
      <c r="O13" s="641"/>
      <c r="P13" s="641"/>
      <c r="Q13" s="641"/>
      <c r="R13" s="641"/>
      <c r="S13" s="641"/>
      <c r="T13" s="641"/>
      <c r="U13" s="642"/>
      <c r="V13" s="264"/>
      <c r="W13" s="8"/>
      <c r="X13" s="8"/>
      <c r="Y13" s="8"/>
      <c r="Z13" s="8"/>
      <c r="AA13" s="8"/>
      <c r="AB13" s="25"/>
    </row>
    <row r="14" ht="13.15" customHeight="1">
      <c r="A14" s="260"/>
      <c r="B14" t="s" s="643">
        <v>302</v>
      </c>
      <c r="C14" s="644"/>
      <c r="D14" s="644"/>
      <c r="E14" s="645"/>
      <c r="F14" s="645"/>
      <c r="G14" s="645"/>
      <c r="H14" s="645"/>
      <c r="I14" s="645"/>
      <c r="J14" s="645"/>
      <c r="K14" s="645"/>
      <c r="L14" s="645"/>
      <c r="M14" s="645"/>
      <c r="N14" s="645"/>
      <c r="O14" s="645"/>
      <c r="P14" s="645"/>
      <c r="Q14" s="645"/>
      <c r="R14" s="645"/>
      <c r="S14" s="645"/>
      <c r="T14" s="645"/>
      <c r="U14" s="646"/>
      <c r="V14" s="647"/>
      <c r="W14" s="648"/>
      <c r="X14" s="648"/>
      <c r="Y14" s="648"/>
      <c r="Z14" s="648"/>
      <c r="AA14" s="648"/>
      <c r="AB14" s="649"/>
    </row>
    <row r="15" ht="13.15" customHeight="1">
      <c r="A15" s="260"/>
      <c r="B15" t="s" s="359">
        <v>44</v>
      </c>
      <c r="C15" s="650">
        <f>'Key Assumptions &amp; Drivers'!$D$48</f>
        <v>0.66</v>
      </c>
      <c r="D15" s="640"/>
      <c r="E15" s="651">
        <f>$C15*E$9</f>
        <v>0</v>
      </c>
      <c r="F15" s="652">
        <f>$C15*F$9</f>
        <v>4338.0790578048</v>
      </c>
      <c r="G15" s="652">
        <f>$C15*G$9</f>
        <v>4503.0790578048</v>
      </c>
      <c r="H15" s="652">
        <f>$C15*H$9</f>
        <v>4668.0790578048</v>
      </c>
      <c r="I15" s="652">
        <f>$C15*I$9</f>
        <v>4833.0790578048</v>
      </c>
      <c r="J15" s="652">
        <f>$C15*J$9</f>
        <v>4998.0790578048</v>
      </c>
      <c r="K15" s="652">
        <f>$C15*K$9</f>
        <v>5246.5406389609</v>
      </c>
      <c r="L15" s="652">
        <f>$C15*L$9</f>
        <v>5411.5406389609</v>
      </c>
      <c r="M15" s="652">
        <f>$C15*M$9</f>
        <v>5576.5406389609</v>
      </c>
      <c r="N15" s="652">
        <f>$C15*N$9</f>
        <v>5741.5406389609</v>
      </c>
      <c r="O15" s="652">
        <f>$C15*O$9</f>
        <v>5906.5406389609</v>
      </c>
      <c r="P15" s="652">
        <f>$C15*P$9</f>
        <v>6071.5406389609</v>
      </c>
      <c r="Q15" s="652">
        <f>$C15*Q$9</f>
        <v>57294.6391227894</v>
      </c>
      <c r="R15" s="652">
        <f>$C15*R$9</f>
        <v>75860.0574208811</v>
      </c>
      <c r="S15" s="652">
        <f>$C15*S$9</f>
        <v>78802.858569299</v>
      </c>
      <c r="T15" s="652">
        <f>$C15*T$9</f>
        <v>81918.5637406851</v>
      </c>
      <c r="U15" s="653">
        <f>$C15*U$9</f>
        <v>85219.754855498293</v>
      </c>
      <c r="V15" s="264"/>
      <c r="W15" s="8"/>
      <c r="X15" s="8"/>
      <c r="Y15" s="8"/>
      <c r="Z15" s="8"/>
      <c r="AA15" s="8"/>
      <c r="AB15" s="25"/>
    </row>
    <row r="16" ht="13.15" customHeight="1">
      <c r="A16" s="260"/>
      <c r="B16" t="s" s="359">
        <v>45</v>
      </c>
      <c r="C16" s="650">
        <f>'Key Assumptions &amp; Drivers'!$D$49</f>
        <v>0.29</v>
      </c>
      <c r="D16" s="640"/>
      <c r="E16" s="654">
        <f>$C16*E$9</f>
        <v>0</v>
      </c>
      <c r="F16" s="655">
        <f>$C16*F$9</f>
        <v>1906.1256466112</v>
      </c>
      <c r="G16" s="655">
        <f>$C16*G$9</f>
        <v>1978.6256466112</v>
      </c>
      <c r="H16" s="655">
        <f>$C16*H$9</f>
        <v>2051.1256466112</v>
      </c>
      <c r="I16" s="655">
        <f>$C16*I$9</f>
        <v>2123.6256466112</v>
      </c>
      <c r="J16" s="655">
        <f>$C16*J$9</f>
        <v>2196.1256466112</v>
      </c>
      <c r="K16" s="655">
        <f>$C16*K$9</f>
        <v>2305.298159543420</v>
      </c>
      <c r="L16" s="655">
        <f>$C16*L$9</f>
        <v>2377.798159543420</v>
      </c>
      <c r="M16" s="655">
        <f>$C16*M$9</f>
        <v>2450.298159543420</v>
      </c>
      <c r="N16" s="655">
        <f>$C16*N$9</f>
        <v>2522.798159543420</v>
      </c>
      <c r="O16" s="655">
        <f>$C16*O$9</f>
        <v>2595.298159543420</v>
      </c>
      <c r="P16" s="655">
        <f>$C16*P$9</f>
        <v>2667.798159543420</v>
      </c>
      <c r="Q16" s="655">
        <f>$C16*Q$9</f>
        <v>25174.9171903165</v>
      </c>
      <c r="R16" s="655">
        <f>$C16*R$9</f>
        <v>33332.4494728114</v>
      </c>
      <c r="S16" s="655">
        <f>$C16*S$9</f>
        <v>34625.4984622678</v>
      </c>
      <c r="T16" s="655">
        <f>$C16*T$9</f>
        <v>35994.5204315132</v>
      </c>
      <c r="U16" s="656">
        <f>$C16*U$9</f>
        <v>37445.0438001432</v>
      </c>
      <c r="V16" s="264"/>
      <c r="W16" s="8"/>
      <c r="X16" s="8"/>
      <c r="Y16" s="8"/>
      <c r="Z16" s="8"/>
      <c r="AA16" s="8"/>
      <c r="AB16" s="25"/>
    </row>
    <row r="17" ht="13.15" customHeight="1">
      <c r="A17" s="260"/>
      <c r="B17" t="s" s="359">
        <v>46</v>
      </c>
      <c r="C17" s="650">
        <f>'Key Assumptions &amp; Drivers'!$D$50</f>
        <v>0.06</v>
      </c>
      <c r="D17" s="640"/>
      <c r="E17" s="654">
        <f>$C17*E$9</f>
        <v>0</v>
      </c>
      <c r="F17" s="655">
        <f>$C17*F$9</f>
        <v>394.3708234368</v>
      </c>
      <c r="G17" s="655">
        <f>$C17*G$9</f>
        <v>409.3708234368</v>
      </c>
      <c r="H17" s="655">
        <f>$C17*H$9</f>
        <v>424.3708234368</v>
      </c>
      <c r="I17" s="655">
        <f>$C17*I$9</f>
        <v>439.3708234368</v>
      </c>
      <c r="J17" s="655">
        <f>$C17*J$9</f>
        <v>454.3708234368</v>
      </c>
      <c r="K17" s="655">
        <f>$C17*K$9</f>
        <v>476.958239905536</v>
      </c>
      <c r="L17" s="655">
        <f>$C17*L$9</f>
        <v>491.958239905536</v>
      </c>
      <c r="M17" s="655">
        <f>$C17*M$9</f>
        <v>506.958239905536</v>
      </c>
      <c r="N17" s="655">
        <f>$C17*N$9</f>
        <v>521.9582399055359</v>
      </c>
      <c r="O17" s="655">
        <f>$C17*O$9</f>
        <v>536.9582399055359</v>
      </c>
      <c r="P17" s="655">
        <f>$C17*P$9</f>
        <v>551.9582399055359</v>
      </c>
      <c r="Q17" s="655">
        <f>$C17*Q$9</f>
        <v>5208.603556617220</v>
      </c>
      <c r="R17" s="655">
        <f>$C17*R$9</f>
        <v>6896.368856443740</v>
      </c>
      <c r="S17" s="655">
        <f>$C17*S$9</f>
        <v>7163.896233572640</v>
      </c>
      <c r="T17" s="655">
        <f>$C17*T$9</f>
        <v>7447.1421582441</v>
      </c>
      <c r="U17" s="656">
        <f>$C17*U$9</f>
        <v>7747.250441408940</v>
      </c>
      <c r="V17" s="264"/>
      <c r="W17" s="8"/>
      <c r="X17" s="8"/>
      <c r="Y17" s="8"/>
      <c r="Z17" s="8"/>
      <c r="AA17" s="8"/>
      <c r="AB17" s="25"/>
    </row>
    <row r="18" ht="13.15" customHeight="1">
      <c r="A18" s="260"/>
      <c r="B18" t="s" s="359">
        <v>48</v>
      </c>
      <c r="C18" s="650">
        <f>'Key Assumptions &amp; Drivers'!$D$51</f>
        <v>0.04</v>
      </c>
      <c r="D18" s="640"/>
      <c r="E18" s="654">
        <f>$C18*E$9</f>
        <v>0</v>
      </c>
      <c r="F18" s="655">
        <f>$C18*F$9</f>
        <v>262.9138822912</v>
      </c>
      <c r="G18" s="655">
        <f>$C18*G$9</f>
        <v>272.9138822912</v>
      </c>
      <c r="H18" s="655">
        <f>$C18*H$9</f>
        <v>282.9138822912</v>
      </c>
      <c r="I18" s="655">
        <f>$C18*I$9</f>
        <v>292.9138822912</v>
      </c>
      <c r="J18" s="655">
        <f>$C18*J$9</f>
        <v>302.9138822912</v>
      </c>
      <c r="K18" s="655">
        <f>$C18*K$9</f>
        <v>317.972159937024</v>
      </c>
      <c r="L18" s="655">
        <f>$C18*L$9</f>
        <v>327.972159937024</v>
      </c>
      <c r="M18" s="655">
        <f>$C18*M$9</f>
        <v>337.972159937024</v>
      </c>
      <c r="N18" s="655">
        <f>$C18*N$9</f>
        <v>347.972159937024</v>
      </c>
      <c r="O18" s="655">
        <f>$C18*O$9</f>
        <v>357.972159937024</v>
      </c>
      <c r="P18" s="655">
        <f>$C18*P$9</f>
        <v>367.972159937024</v>
      </c>
      <c r="Q18" s="655">
        <f>$C18*Q$9</f>
        <v>3472.402371078140</v>
      </c>
      <c r="R18" s="655">
        <f>$C18*R$9</f>
        <v>4597.579237629160</v>
      </c>
      <c r="S18" s="655">
        <f>$C18*S$9</f>
        <v>4775.930822381760</v>
      </c>
      <c r="T18" s="655">
        <f>$C18*T$9</f>
        <v>4964.7614388294</v>
      </c>
      <c r="U18" s="656">
        <f>$C18*U$9</f>
        <v>5164.833627605960</v>
      </c>
      <c r="V18" s="264"/>
      <c r="W18" s="8"/>
      <c r="X18" s="8"/>
      <c r="Y18" s="8"/>
      <c r="Z18" s="8"/>
      <c r="AA18" s="8"/>
      <c r="AB18" s="25"/>
    </row>
    <row r="19" ht="13.15" customHeight="1">
      <c r="A19" s="260"/>
      <c r="B19" t="s" s="359">
        <v>49</v>
      </c>
      <c r="C19" t="s" s="657">
        <v>303</v>
      </c>
      <c r="D19" s="640"/>
      <c r="E19" s="654">
        <f>E9*E37</f>
        <v>0</v>
      </c>
      <c r="F19" s="655">
        <f>F9*F37</f>
        <v>7798.012515845730</v>
      </c>
      <c r="G19" s="655">
        <f>G9*G37</f>
        <v>8217.262515845779</v>
      </c>
      <c r="H19" s="655">
        <f>H9*H37</f>
        <v>8636.512515845759</v>
      </c>
      <c r="I19" s="655">
        <f>I9*I37</f>
        <v>9055.762515845730</v>
      </c>
      <c r="J19" s="655">
        <f>J9*J37</f>
        <v>9475.012515845739</v>
      </c>
      <c r="K19" s="655">
        <f>K9*K37</f>
        <v>10041.8377661626</v>
      </c>
      <c r="L19" s="655">
        <f>L9*L37</f>
        <v>10461.0877661627</v>
      </c>
      <c r="M19" s="655">
        <f>M9*M37</f>
        <v>10880.3377661627</v>
      </c>
      <c r="N19" s="655">
        <f>N9*N37</f>
        <v>11299.5877661626</v>
      </c>
      <c r="O19" s="655">
        <f>O9*O37</f>
        <v>11718.8377661627</v>
      </c>
      <c r="P19" s="655">
        <f>P9*P37</f>
        <v>12138.0877661627</v>
      </c>
      <c r="Q19" s="655">
        <f>Q9*Q37</f>
        <v>114542.156522905</v>
      </c>
      <c r="R19" s="655">
        <f>R9*R37</f>
        <v>152494.37425783</v>
      </c>
      <c r="S19" s="655">
        <f>S9*S37</f>
        <v>159166.581742988</v>
      </c>
      <c r="T19" s="655">
        <f>T9*T37</f>
        <v>166262.018977848</v>
      </c>
      <c r="U19" s="656">
        <f>U9*U37</f>
        <v>173812.333405403</v>
      </c>
      <c r="V19" s="264"/>
      <c r="W19" s="8"/>
      <c r="X19" s="8"/>
      <c r="Y19" s="8"/>
      <c r="Z19" s="8"/>
      <c r="AA19" s="8"/>
      <c r="AB19" s="25"/>
    </row>
    <row r="20" ht="13.15" customHeight="1">
      <c r="A20" s="260"/>
      <c r="B20" t="s" s="658">
        <v>304</v>
      </c>
      <c r="C20" s="659"/>
      <c r="D20" s="659"/>
      <c r="E20" s="660">
        <f>SUM(E15:E19)</f>
        <v>0</v>
      </c>
      <c r="F20" s="661">
        <f>SUM(F15:F19)</f>
        <v>14699.5019259897</v>
      </c>
      <c r="G20" s="661">
        <f>SUM(G15:G19)</f>
        <v>15381.2519259898</v>
      </c>
      <c r="H20" s="661">
        <f>SUM(H15:H19)</f>
        <v>16063.0019259898</v>
      </c>
      <c r="I20" s="661">
        <f>SUM(I15:I19)</f>
        <v>16744.7519259897</v>
      </c>
      <c r="J20" s="661">
        <f>SUM(J15:J19)</f>
        <v>17426.5019259897</v>
      </c>
      <c r="K20" s="661">
        <f>SUM(K15:K19)</f>
        <v>18388.6069645095</v>
      </c>
      <c r="L20" s="661">
        <f>SUM(L15:L19)</f>
        <v>19070.3569645096</v>
      </c>
      <c r="M20" s="661">
        <f>SUM(M15:M19)</f>
        <v>19752.1069645096</v>
      </c>
      <c r="N20" s="661">
        <f>SUM(N15:N19)</f>
        <v>20433.8569645095</v>
      </c>
      <c r="O20" s="661">
        <f>SUM(O15:O19)</f>
        <v>21115.6069645096</v>
      </c>
      <c r="P20" s="661">
        <f>SUM(P15:P19)</f>
        <v>21797.3569645096</v>
      </c>
      <c r="Q20" s="661">
        <f>SUM(Q15:Q19)</f>
        <v>205692.718763706</v>
      </c>
      <c r="R20" s="661">
        <f>SUM(R15:R19)</f>
        <v>273180.829245595</v>
      </c>
      <c r="S20" s="661">
        <f>SUM(S15:S19)</f>
        <v>284534.765830509</v>
      </c>
      <c r="T20" s="661">
        <f>SUM(T15:T19)</f>
        <v>296587.00674712</v>
      </c>
      <c r="U20" s="662">
        <f>SUM(U15:U19)</f>
        <v>309389.216130059</v>
      </c>
      <c r="V20" s="264"/>
      <c r="W20" s="8"/>
      <c r="X20" s="8"/>
      <c r="Y20" s="8"/>
      <c r="Z20" s="8"/>
      <c r="AA20" s="8"/>
      <c r="AB20" s="25"/>
    </row>
    <row r="21" ht="13.15" customHeight="1">
      <c r="A21" s="260"/>
      <c r="B21" s="663"/>
      <c r="C21" s="664"/>
      <c r="D21" s="664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6"/>
      <c r="V21" s="264"/>
      <c r="W21" s="8"/>
      <c r="X21" s="8"/>
      <c r="Y21" s="8"/>
      <c r="Z21" s="8"/>
      <c r="AA21" s="8"/>
      <c r="AB21" s="25"/>
    </row>
    <row r="22" ht="13.15" customHeight="1">
      <c r="A22" s="260"/>
      <c r="B22" t="s" s="643">
        <v>305</v>
      </c>
      <c r="C22" s="644"/>
      <c r="D22" s="644"/>
      <c r="E22" s="645"/>
      <c r="F22" s="645"/>
      <c r="G22" s="645"/>
      <c r="H22" s="645"/>
      <c r="I22" s="645"/>
      <c r="J22" s="645"/>
      <c r="K22" s="645"/>
      <c r="L22" s="645"/>
      <c r="M22" s="645"/>
      <c r="N22" s="645"/>
      <c r="O22" s="645"/>
      <c r="P22" s="645"/>
      <c r="Q22" s="645"/>
      <c r="R22" s="645"/>
      <c r="S22" s="645"/>
      <c r="T22" s="645"/>
      <c r="U22" s="646"/>
      <c r="V22" s="264"/>
      <c r="W22" s="8"/>
      <c r="X22" s="8"/>
      <c r="Y22" s="8"/>
      <c r="Z22" s="8"/>
      <c r="AA22" s="8"/>
      <c r="AB22" s="25"/>
    </row>
    <row r="23" ht="13.15" customHeight="1">
      <c r="A23" s="260"/>
      <c r="B23" t="s" s="359">
        <v>306</v>
      </c>
      <c r="C23" s="395">
        <f>'Key Assumptions &amp; Drivers'!$D$53</f>
        <v>0.9</v>
      </c>
      <c r="D23" s="667"/>
      <c r="E23" s="652">
        <f>E15*$C$23</f>
        <v>0</v>
      </c>
      <c r="F23" s="652">
        <f>F15*$C$23</f>
        <v>3904.271152024320</v>
      </c>
      <c r="G23" s="652">
        <f>G15*$C$23</f>
        <v>4052.771152024320</v>
      </c>
      <c r="H23" s="652">
        <f>H15*$C$23</f>
        <v>4201.271152024320</v>
      </c>
      <c r="I23" s="652">
        <f>I15*$C$23</f>
        <v>4349.771152024320</v>
      </c>
      <c r="J23" s="652">
        <f>J15*$C$23</f>
        <v>4498.271152024320</v>
      </c>
      <c r="K23" s="652">
        <f>K15*$C$23</f>
        <v>4721.886575064810</v>
      </c>
      <c r="L23" s="652">
        <f>L15*$C$23</f>
        <v>4870.386575064810</v>
      </c>
      <c r="M23" s="652">
        <f>M15*$C$23</f>
        <v>5018.886575064810</v>
      </c>
      <c r="N23" s="652">
        <f>N15*$C$23</f>
        <v>5167.386575064810</v>
      </c>
      <c r="O23" s="652">
        <f>O15*$C$23</f>
        <v>5315.886575064810</v>
      </c>
      <c r="P23" s="652">
        <f>P15*$C$23</f>
        <v>5464.386575064810</v>
      </c>
      <c r="Q23" s="652">
        <f>Q15*$C$23</f>
        <v>51565.1752105105</v>
      </c>
      <c r="R23" s="652">
        <f>R15*$C$23</f>
        <v>68274.051678793</v>
      </c>
      <c r="S23" s="652">
        <f>S15*$C$23</f>
        <v>70922.5727123691</v>
      </c>
      <c r="T23" s="652">
        <f>T15*$C$23</f>
        <v>73726.7073666166</v>
      </c>
      <c r="U23" s="653">
        <f>U15*$C$23</f>
        <v>76697.7793699485</v>
      </c>
      <c r="V23" s="264"/>
      <c r="W23" s="8"/>
      <c r="X23" s="8"/>
      <c r="Y23" s="8"/>
      <c r="Z23" s="8"/>
      <c r="AA23" s="8"/>
      <c r="AB23" s="25"/>
    </row>
    <row r="24" ht="13.15" customHeight="1">
      <c r="A24" s="260"/>
      <c r="B24" t="s" s="359">
        <v>307</v>
      </c>
      <c r="C24" s="395">
        <f>'Key Assumptions &amp; Drivers'!$D$54</f>
        <v>0.1</v>
      </c>
      <c r="D24" s="668"/>
      <c r="E24" s="655">
        <f>E15*$C$24</f>
        <v>0</v>
      </c>
      <c r="F24" s="655">
        <f>F15*$C$24</f>
        <v>433.807905780480</v>
      </c>
      <c r="G24" s="655">
        <f>G15*$C$24</f>
        <v>450.307905780480</v>
      </c>
      <c r="H24" s="655">
        <f>H15*$C$24</f>
        <v>466.807905780480</v>
      </c>
      <c r="I24" s="655">
        <f>I15*$C$24</f>
        <v>483.307905780480</v>
      </c>
      <c r="J24" s="655">
        <f>J15*$C$24</f>
        <v>499.807905780480</v>
      </c>
      <c r="K24" s="655">
        <f>K15*$C$24</f>
        <v>524.654063896090</v>
      </c>
      <c r="L24" s="655">
        <f>L15*$C$24</f>
        <v>541.154063896090</v>
      </c>
      <c r="M24" s="655">
        <f>M15*$C$24</f>
        <v>557.654063896090</v>
      </c>
      <c r="N24" s="655">
        <f>N15*$C$24</f>
        <v>574.154063896090</v>
      </c>
      <c r="O24" s="655">
        <f>O15*$C$24</f>
        <v>590.654063896090</v>
      </c>
      <c r="P24" s="655">
        <f>P15*$C$24</f>
        <v>607.154063896090</v>
      </c>
      <c r="Q24" s="655">
        <f>Q15*$C$24</f>
        <v>5729.463912278940</v>
      </c>
      <c r="R24" s="655">
        <f>R15*$C$24</f>
        <v>7586.005742088110</v>
      </c>
      <c r="S24" s="655">
        <f>S15*$C$24</f>
        <v>7880.2858569299</v>
      </c>
      <c r="T24" s="655">
        <f>T15*$C$24</f>
        <v>8191.856374068510</v>
      </c>
      <c r="U24" s="656">
        <f>U15*$C$24</f>
        <v>8521.975485549830</v>
      </c>
      <c r="V24" s="264"/>
      <c r="W24" s="8"/>
      <c r="X24" s="8"/>
      <c r="Y24" s="8"/>
      <c r="Z24" s="8"/>
      <c r="AA24" s="8"/>
      <c r="AB24" s="25"/>
    </row>
    <row r="25" ht="13.15" customHeight="1">
      <c r="A25" s="260"/>
      <c r="B25" t="s" s="359">
        <v>308</v>
      </c>
      <c r="C25" s="395">
        <f>'Key Assumptions &amp; Drivers'!$D$55</f>
        <v>0.5</v>
      </c>
      <c r="D25" s="8"/>
      <c r="E25" s="655">
        <f>E16*$C$25</f>
        <v>0</v>
      </c>
      <c r="F25" s="655">
        <f>F16*$C$25</f>
        <v>953.0628233056</v>
      </c>
      <c r="G25" s="655">
        <f>G16*$C$25</f>
        <v>989.3128233056</v>
      </c>
      <c r="H25" s="655">
        <f>H16*$C$25</f>
        <v>1025.5628233056</v>
      </c>
      <c r="I25" s="655">
        <f>I16*$C$25</f>
        <v>1061.8128233056</v>
      </c>
      <c r="J25" s="655">
        <f>J16*$C$25</f>
        <v>1098.0628233056</v>
      </c>
      <c r="K25" s="655">
        <f>K16*$C$25</f>
        <v>1152.649079771710</v>
      </c>
      <c r="L25" s="655">
        <f>L16*$C$25</f>
        <v>1188.899079771710</v>
      </c>
      <c r="M25" s="655">
        <f>M16*$C$25</f>
        <v>1225.149079771710</v>
      </c>
      <c r="N25" s="655">
        <f>N16*$C$25</f>
        <v>1261.399079771710</v>
      </c>
      <c r="O25" s="655">
        <f>O16*$C$25</f>
        <v>1297.649079771710</v>
      </c>
      <c r="P25" s="655">
        <f>P16*$C$25</f>
        <v>1333.899079771710</v>
      </c>
      <c r="Q25" s="655">
        <f>Q16*$C$25</f>
        <v>12587.4585951583</v>
      </c>
      <c r="R25" s="655">
        <f>R16*$C$25</f>
        <v>16666.2247364057</v>
      </c>
      <c r="S25" s="655">
        <f>S16*$C$25</f>
        <v>17312.7492311339</v>
      </c>
      <c r="T25" s="655">
        <f>T16*$C$25</f>
        <v>17997.2602157566</v>
      </c>
      <c r="U25" s="656">
        <f>U16*$C$25</f>
        <v>18722.5219000716</v>
      </c>
      <c r="V25" s="264"/>
      <c r="W25" s="8"/>
      <c r="X25" s="8"/>
      <c r="Y25" s="8"/>
      <c r="Z25" s="8"/>
      <c r="AA25" s="8"/>
      <c r="AB25" s="25"/>
    </row>
    <row r="26" ht="13.15" customHeight="1">
      <c r="A26" s="260"/>
      <c r="B26" t="s" s="359">
        <v>309</v>
      </c>
      <c r="C26" s="395">
        <f>'Key Assumptions &amp; Drivers'!$D$56</f>
        <v>0.5</v>
      </c>
      <c r="D26" s="8"/>
      <c r="E26" s="655">
        <f>E16*$C$26</f>
        <v>0</v>
      </c>
      <c r="F26" s="655">
        <f>F16*$C$26</f>
        <v>953.0628233056</v>
      </c>
      <c r="G26" s="655">
        <f>G16*$C$26</f>
        <v>989.3128233056</v>
      </c>
      <c r="H26" s="655">
        <f>H16*$C$26</f>
        <v>1025.5628233056</v>
      </c>
      <c r="I26" s="655">
        <f>I16*$C$26</f>
        <v>1061.8128233056</v>
      </c>
      <c r="J26" s="655">
        <f>J16*$C$26</f>
        <v>1098.0628233056</v>
      </c>
      <c r="K26" s="655">
        <f>K16*$C$26</f>
        <v>1152.649079771710</v>
      </c>
      <c r="L26" s="655">
        <f>L16*$C$26</f>
        <v>1188.899079771710</v>
      </c>
      <c r="M26" s="655">
        <f>M16*$C$26</f>
        <v>1225.149079771710</v>
      </c>
      <c r="N26" s="655">
        <f>N16*$C$26</f>
        <v>1261.399079771710</v>
      </c>
      <c r="O26" s="655">
        <f>O16*$C$26</f>
        <v>1297.649079771710</v>
      </c>
      <c r="P26" s="655">
        <f>P16*$C$26</f>
        <v>1333.899079771710</v>
      </c>
      <c r="Q26" s="655">
        <f>Q16*$C$26</f>
        <v>12587.4585951583</v>
      </c>
      <c r="R26" s="655">
        <f>R16*$C$26</f>
        <v>16666.2247364057</v>
      </c>
      <c r="S26" s="655">
        <f>S16*$C$26</f>
        <v>17312.7492311339</v>
      </c>
      <c r="T26" s="655">
        <f>T16*$C$26</f>
        <v>17997.2602157566</v>
      </c>
      <c r="U26" s="656">
        <f>U16*$C$26</f>
        <v>18722.5219000716</v>
      </c>
      <c r="V26" s="264"/>
      <c r="W26" s="8"/>
      <c r="X26" s="8"/>
      <c r="Y26" s="8"/>
      <c r="Z26" s="8"/>
      <c r="AA26" s="8"/>
      <c r="AB26" s="25"/>
    </row>
    <row r="27" ht="13" customHeight="1">
      <c r="A27" s="260"/>
      <c r="B27" s="264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326"/>
      <c r="V27" s="264"/>
      <c r="W27" s="8"/>
      <c r="X27" s="8"/>
      <c r="Y27" s="8"/>
      <c r="Z27" s="8"/>
      <c r="AA27" s="8"/>
      <c r="AB27" s="25"/>
    </row>
    <row r="28" ht="13.15" customHeight="1">
      <c r="A28" s="260"/>
      <c r="B28" t="s" s="643">
        <v>310</v>
      </c>
      <c r="C28" s="644"/>
      <c r="D28" s="644"/>
      <c r="E28" s="645"/>
      <c r="F28" s="645"/>
      <c r="G28" s="645"/>
      <c r="H28" s="645"/>
      <c r="I28" s="645"/>
      <c r="J28" s="645"/>
      <c r="K28" s="645"/>
      <c r="L28" s="645"/>
      <c r="M28" s="645"/>
      <c r="N28" s="645"/>
      <c r="O28" s="645"/>
      <c r="P28" s="645"/>
      <c r="Q28" s="645"/>
      <c r="R28" s="645"/>
      <c r="S28" s="645"/>
      <c r="T28" s="645"/>
      <c r="U28" s="646"/>
      <c r="V28" s="264"/>
      <c r="W28" s="8"/>
      <c r="X28" s="8"/>
      <c r="Y28" s="8"/>
      <c r="Z28" s="8"/>
      <c r="AA28" s="8"/>
      <c r="AB28" s="25"/>
    </row>
    <row r="29" ht="13.15" customHeight="1">
      <c r="A29" s="260"/>
      <c r="B29" t="s" s="359">
        <v>311</v>
      </c>
      <c r="C29" s="395"/>
      <c r="D29" s="8"/>
      <c r="E29" s="655">
        <f>'Note C - SG&amp;A'!D43-'Note C - SG&amp;A'!D9</f>
        <v>0</v>
      </c>
      <c r="F29" s="655">
        <f>'Note C - SG&amp;A'!E43-'Note C - SG&amp;A'!E9</f>
        <v>5373.333333333340</v>
      </c>
      <c r="G29" s="655">
        <f>'Note C - SG&amp;A'!F43-'Note C - SG&amp;A'!F9</f>
        <v>5373.333333333340</v>
      </c>
      <c r="H29" s="655">
        <f>'Note C - SG&amp;A'!G43-'Note C - SG&amp;A'!G9</f>
        <v>5373.333333333340</v>
      </c>
      <c r="I29" s="655">
        <f>'Note C - SG&amp;A'!H43-'Note C - SG&amp;A'!H9</f>
        <v>5373.333333333340</v>
      </c>
      <c r="J29" s="655">
        <f>'Note C - SG&amp;A'!I43-'Note C - SG&amp;A'!I9</f>
        <v>5373.333333333340</v>
      </c>
      <c r="K29" s="655">
        <f>'Note C - SG&amp;A'!J43-'Note C - SG&amp;A'!J9</f>
        <v>5373.333333333340</v>
      </c>
      <c r="L29" s="655">
        <f>'Note C - SG&amp;A'!K43-'Note C - SG&amp;A'!K9</f>
        <v>5373.333333333340</v>
      </c>
      <c r="M29" s="655">
        <f>'Note C - SG&amp;A'!L43-'Note C - SG&amp;A'!L9</f>
        <v>5373.333333333340</v>
      </c>
      <c r="N29" s="655">
        <f>'Note C - SG&amp;A'!M43-'Note C - SG&amp;A'!M9</f>
        <v>5373.333333333340</v>
      </c>
      <c r="O29" s="655">
        <f>'Note C - SG&amp;A'!N43-'Note C - SG&amp;A'!N9</f>
        <v>5373.333333333340</v>
      </c>
      <c r="P29" s="655">
        <f>'Note C - SG&amp;A'!O43-'Note C - SG&amp;A'!O9</f>
        <v>5373.333333333340</v>
      </c>
      <c r="Q29" s="655">
        <f>'Note C - SG&amp;A'!P43-'Note C - SG&amp;A'!P9</f>
        <v>59106.6666666667</v>
      </c>
      <c r="R29" s="655">
        <f>'Note C - SG&amp;A'!Q43-'Note C - SG&amp;A'!Q9</f>
        <v>68348.8</v>
      </c>
      <c r="S29" s="655">
        <f>'Note C - SG&amp;A'!R43-'Note C - SG&amp;A'!R9</f>
        <v>72449.728</v>
      </c>
      <c r="T29" s="655">
        <f>'Note C - SG&amp;A'!S43-'Note C - SG&amp;A'!S9</f>
        <v>76796.711679999993</v>
      </c>
      <c r="U29" s="656">
        <f>'Note C - SG&amp;A'!T43-'Note C - SG&amp;A'!T9</f>
        <v>81404.5143808</v>
      </c>
      <c r="V29" s="264"/>
      <c r="W29" s="8"/>
      <c r="X29" s="8"/>
      <c r="Y29" s="8"/>
      <c r="Z29" s="8"/>
      <c r="AA29" s="8"/>
      <c r="AB29" s="25"/>
    </row>
    <row r="30" ht="13.15" customHeight="1">
      <c r="A30" s="260"/>
      <c r="B30" t="s" s="359">
        <v>80</v>
      </c>
      <c r="C30" s="460">
        <f>'Key Assumptions &amp; Drivers'!$E$76</f>
        <v>0.097</v>
      </c>
      <c r="D30" s="8"/>
      <c r="E30" s="655">
        <f>$C$30*E29</f>
        <v>0</v>
      </c>
      <c r="F30" s="655">
        <f>$C$30*F29</f>
        <v>521.213333333334</v>
      </c>
      <c r="G30" s="655">
        <f>$C$30*G29</f>
        <v>521.213333333334</v>
      </c>
      <c r="H30" s="655">
        <f>$C$30*H29</f>
        <v>521.213333333334</v>
      </c>
      <c r="I30" s="655">
        <f>$C$30*I29</f>
        <v>521.213333333334</v>
      </c>
      <c r="J30" s="655">
        <f>$C$30*J29</f>
        <v>521.213333333334</v>
      </c>
      <c r="K30" s="655">
        <f>$C$30*K29</f>
        <v>521.213333333334</v>
      </c>
      <c r="L30" s="655">
        <f>$C$30*L29</f>
        <v>521.213333333334</v>
      </c>
      <c r="M30" s="655">
        <f>$C$30*M29</f>
        <v>521.213333333334</v>
      </c>
      <c r="N30" s="655">
        <f>$C$30*N29</f>
        <v>521.213333333334</v>
      </c>
      <c r="O30" s="655">
        <f>$C$30*O29</f>
        <v>521.213333333334</v>
      </c>
      <c r="P30" s="655">
        <f>$C$30*P29</f>
        <v>521.213333333334</v>
      </c>
      <c r="Q30" s="655">
        <f>$C$30*Q29</f>
        <v>5733.346666666670</v>
      </c>
      <c r="R30" s="655">
        <f>$C$30*R29</f>
        <v>6629.8336</v>
      </c>
      <c r="S30" s="655">
        <f>$C$30*S29</f>
        <v>7027.623616</v>
      </c>
      <c r="T30" s="655">
        <f>$C$30*T29</f>
        <v>7449.28103296</v>
      </c>
      <c r="U30" s="656">
        <f>$C$30*U29</f>
        <v>7896.2378949376</v>
      </c>
      <c r="V30" s="264"/>
      <c r="W30" s="8"/>
      <c r="X30" s="8"/>
      <c r="Y30" s="8"/>
      <c r="Z30" s="8"/>
      <c r="AA30" s="8"/>
      <c r="AB30" s="25"/>
    </row>
    <row r="31" ht="13.15" customHeight="1">
      <c r="A31" s="260"/>
      <c r="B31" t="s" s="658">
        <v>81</v>
      </c>
      <c r="C31" s="669">
        <f>'Key Assumptions &amp; Drivers'!$E$77</f>
        <v>0.033</v>
      </c>
      <c r="D31" s="515"/>
      <c r="E31" s="660">
        <f>$C$31*E29</f>
        <v>0</v>
      </c>
      <c r="F31" s="660">
        <f>$C$31*F29</f>
        <v>177.32</v>
      </c>
      <c r="G31" s="660">
        <f>$C$31*G29</f>
        <v>177.32</v>
      </c>
      <c r="H31" s="660">
        <f>$C$31*H29</f>
        <v>177.32</v>
      </c>
      <c r="I31" s="660">
        <f>$C$31*I29</f>
        <v>177.32</v>
      </c>
      <c r="J31" s="660">
        <f>$C$31*J29</f>
        <v>177.32</v>
      </c>
      <c r="K31" s="660">
        <f>$C$31*K29</f>
        <v>177.32</v>
      </c>
      <c r="L31" s="660">
        <f>$C$31*L29</f>
        <v>177.32</v>
      </c>
      <c r="M31" s="660">
        <f>$C$31*M29</f>
        <v>177.32</v>
      </c>
      <c r="N31" s="660">
        <f>$C$31*N29</f>
        <v>177.32</v>
      </c>
      <c r="O31" s="660">
        <f>$C$31*O29</f>
        <v>177.32</v>
      </c>
      <c r="P31" s="660">
        <f>$C$31*P29</f>
        <v>177.32</v>
      </c>
      <c r="Q31" s="660">
        <f>$C$31*Q29</f>
        <v>1950.52</v>
      </c>
      <c r="R31" s="660">
        <f>$C$31*R29</f>
        <v>2255.5104</v>
      </c>
      <c r="S31" s="660">
        <f>$C$31*S29</f>
        <v>2390.841024</v>
      </c>
      <c r="T31" s="660">
        <f>$C$31*T29</f>
        <v>2534.29148544</v>
      </c>
      <c r="U31" s="670">
        <f>$C$31*U29</f>
        <v>2686.3489745664</v>
      </c>
      <c r="V31" s="264"/>
      <c r="W31" s="8"/>
      <c r="X31" s="8"/>
      <c r="Y31" s="8"/>
      <c r="Z31" s="8"/>
      <c r="AA31" s="8"/>
      <c r="AB31" s="25"/>
    </row>
    <row r="32" ht="13.15" customHeight="1">
      <c r="A32" s="260"/>
      <c r="B32" t="s" s="671">
        <v>312</v>
      </c>
      <c r="C32" s="672"/>
      <c r="D32" s="673"/>
      <c r="E32" s="674">
        <f>SUM(E29:E31)</f>
        <v>0</v>
      </c>
      <c r="F32" s="674">
        <f>SUM(F29:F31)</f>
        <v>6071.866666666670</v>
      </c>
      <c r="G32" s="674">
        <f>SUM(G29:G31)</f>
        <v>6071.866666666670</v>
      </c>
      <c r="H32" s="674">
        <f>SUM(H29:H31)</f>
        <v>6071.866666666670</v>
      </c>
      <c r="I32" s="674">
        <f>SUM(I29:I31)</f>
        <v>6071.866666666670</v>
      </c>
      <c r="J32" s="674">
        <f>SUM(J29:J31)</f>
        <v>6071.866666666670</v>
      </c>
      <c r="K32" s="674">
        <f>SUM(K29:K31)</f>
        <v>6071.866666666670</v>
      </c>
      <c r="L32" s="674">
        <f>SUM(L29:L31)</f>
        <v>6071.866666666670</v>
      </c>
      <c r="M32" s="674">
        <f>SUM(M29:M31)</f>
        <v>6071.866666666670</v>
      </c>
      <c r="N32" s="674">
        <f>SUM(N29:N31)</f>
        <v>6071.866666666670</v>
      </c>
      <c r="O32" s="674">
        <f>SUM(O29:O31)</f>
        <v>6071.866666666670</v>
      </c>
      <c r="P32" s="674">
        <f>SUM(P29:P31)</f>
        <v>6071.866666666670</v>
      </c>
      <c r="Q32" s="674">
        <f>SUM(Q29:Q31)</f>
        <v>66790.5333333334</v>
      </c>
      <c r="R32" s="674">
        <f>SUM(R29:R31)</f>
        <v>77234.144</v>
      </c>
      <c r="S32" s="674">
        <f>SUM(S29:S31)</f>
        <v>81868.192639999994</v>
      </c>
      <c r="T32" s="674">
        <f>SUM(T29:T31)</f>
        <v>86780.2841984</v>
      </c>
      <c r="U32" s="675">
        <f>SUM(U29:U31)</f>
        <v>91987.101250304</v>
      </c>
      <c r="V32" s="264"/>
      <c r="W32" s="8"/>
      <c r="X32" s="8"/>
      <c r="Y32" s="8"/>
      <c r="Z32" s="8"/>
      <c r="AA32" s="8"/>
      <c r="AB32" s="25"/>
    </row>
    <row r="33" ht="13" customHeight="1">
      <c r="A33" s="23"/>
      <c r="B33" s="676"/>
      <c r="C33" s="676"/>
      <c r="D33" s="676"/>
      <c r="E33" s="676"/>
      <c r="F33" s="676"/>
      <c r="G33" s="676"/>
      <c r="H33" s="676"/>
      <c r="I33" s="676"/>
      <c r="J33" s="676"/>
      <c r="K33" s="676"/>
      <c r="L33" s="676"/>
      <c r="M33" s="676"/>
      <c r="N33" s="676"/>
      <c r="O33" s="676"/>
      <c r="P33" s="676"/>
      <c r="Q33" s="676"/>
      <c r="R33" s="676"/>
      <c r="S33" s="676"/>
      <c r="T33" s="676"/>
      <c r="U33" s="676"/>
      <c r="V33" s="8"/>
      <c r="W33" s="8"/>
      <c r="X33" s="8"/>
      <c r="Y33" s="8"/>
      <c r="Z33" s="8"/>
      <c r="AA33" s="8"/>
      <c r="AB33" s="25"/>
    </row>
    <row r="34" ht="13" customHeight="1">
      <c r="A34" s="23"/>
      <c r="B34" t="s" s="256">
        <v>313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25"/>
    </row>
    <row r="35" ht="13" customHeight="1">
      <c r="A35" s="23"/>
      <c r="B35" t="s" s="677">
        <v>314</v>
      </c>
      <c r="C35" s="8"/>
      <c r="D35" s="8"/>
      <c r="E35" s="8"/>
      <c r="F35" s="678">
        <f>'Key Assumptions &amp; Drivers'!E42</f>
        <v>0.9619647319005999</v>
      </c>
      <c r="G35" s="678">
        <f>'Key Assumptions &amp; Drivers'!F42</f>
        <v>0.926716809595417</v>
      </c>
      <c r="H35" s="678">
        <f>'Key Assumptions &amp; Drivers'!G42</f>
        <v>0.893960664789431</v>
      </c>
      <c r="I35" s="678">
        <f>'Key Assumptions &amp; Drivers'!H42</f>
        <v>0.863441091671326</v>
      </c>
      <c r="J35" s="678">
        <f>'Key Assumptions &amp; Drivers'!I42</f>
        <v>0.834936584544073</v>
      </c>
      <c r="K35" s="678">
        <f>'Key Assumptions &amp; Drivers'!J42</f>
        <v>0.811304234899422</v>
      </c>
      <c r="L35" s="678">
        <f>'Key Assumptions &amp; Drivers'!K42</f>
        <v>0.786567250057318</v>
      </c>
      <c r="M35" s="678">
        <f>'Key Assumptions &amp; Drivers'!L42</f>
        <v>0.763294112701748</v>
      </c>
      <c r="N35" s="678">
        <f>'Key Assumptions &amp; Drivers'!M42</f>
        <v>0.741358618987541</v>
      </c>
      <c r="O35" s="678">
        <f>'Key Assumptions &amp; Drivers'!N42</f>
        <v>0.720648667154472</v>
      </c>
      <c r="P35" s="678">
        <f>'Key Assumptions &amp; Drivers'!O42</f>
        <v>0.701064341338144</v>
      </c>
      <c r="Q35" s="678">
        <f>P35</f>
        <v>0.701064341338144</v>
      </c>
      <c r="R35" s="678">
        <f>'Key Assumptions &amp; Drivers'!P42</f>
        <v>0.686791695026325</v>
      </c>
      <c r="S35" s="678">
        <f>'Key Assumptions &amp; Drivers'!Q42</f>
        <v>0.67436714269148</v>
      </c>
      <c r="T35" s="678">
        <f>'Key Assumptions &amp; Drivers'!R42</f>
        <v>0.6616925061366</v>
      </c>
      <c r="U35" s="678">
        <f>'Key Assumptions &amp; Drivers'!S42</f>
        <v>0.648781468912324</v>
      </c>
      <c r="V35" s="8"/>
      <c r="W35" s="8"/>
      <c r="X35" s="8"/>
      <c r="Y35" s="8"/>
      <c r="Z35" s="8"/>
      <c r="AA35" s="8"/>
      <c r="AB35" s="25"/>
    </row>
    <row r="36" ht="13" customHeight="1">
      <c r="A36" s="23"/>
      <c r="B36" t="s" s="677">
        <v>315</v>
      </c>
      <c r="C36" s="8"/>
      <c r="D36" s="8"/>
      <c r="E36" s="8"/>
      <c r="F36" s="678">
        <f>'Key Assumptions &amp; Drivers'!E43</f>
        <v>0.0380352680994</v>
      </c>
      <c r="G36" s="678">
        <f>'Key Assumptions &amp; Drivers'!F43</f>
        <v>0.073283190404583</v>
      </c>
      <c r="H36" s="678">
        <f>'Key Assumptions &amp; Drivers'!G43</f>
        <v>0.106039335210569</v>
      </c>
      <c r="I36" s="678">
        <f>'Key Assumptions &amp; Drivers'!H43</f>
        <v>0.136558908328674</v>
      </c>
      <c r="J36" s="678">
        <f>'Key Assumptions &amp; Drivers'!I43</f>
        <v>0.165063415455927</v>
      </c>
      <c r="K36" s="678">
        <f>'Key Assumptions &amp; Drivers'!J43</f>
        <v>0.188695765100578</v>
      </c>
      <c r="L36" s="678">
        <f>'Key Assumptions &amp; Drivers'!K43</f>
        <v>0.213432749942682</v>
      </c>
      <c r="M36" s="678">
        <f>'Key Assumptions &amp; Drivers'!L43</f>
        <v>0.236705887298252</v>
      </c>
      <c r="N36" s="678">
        <f>'Key Assumptions &amp; Drivers'!M43</f>
        <v>0.258641381012459</v>
      </c>
      <c r="O36" s="678">
        <f>'Key Assumptions &amp; Drivers'!N43</f>
        <v>0.279351332845528</v>
      </c>
      <c r="P36" s="678">
        <f>'Key Assumptions &amp; Drivers'!O43</f>
        <v>0.298935658661856</v>
      </c>
      <c r="Q36" s="678">
        <f>P36</f>
        <v>0.298935658661856</v>
      </c>
      <c r="R36" s="678">
        <f>'Key Assumptions &amp; Drivers'!P43</f>
        <v>0.313208304973675</v>
      </c>
      <c r="S36" s="678">
        <f>'Key Assumptions &amp; Drivers'!Q43</f>
        <v>0.32563285730852</v>
      </c>
      <c r="T36" s="678">
        <f>'Key Assumptions &amp; Drivers'!R43</f>
        <v>0.3383074938634</v>
      </c>
      <c r="U36" s="678">
        <f>'Key Assumptions &amp; Drivers'!S43</f>
        <v>0.351218531087676</v>
      </c>
      <c r="V36" s="8"/>
      <c r="W36" s="8"/>
      <c r="X36" s="8"/>
      <c r="Y36" s="8"/>
      <c r="Z36" s="8"/>
      <c r="AA36" s="8"/>
      <c r="AB36" s="25"/>
    </row>
    <row r="37" ht="13" customHeight="1">
      <c r="A37" s="205"/>
      <c r="B37" t="s" s="679">
        <v>316</v>
      </c>
      <c r="C37" s="209"/>
      <c r="D37" s="209"/>
      <c r="E37" s="209"/>
      <c r="F37" s="680">
        <f>(F35*'Key Assumptions &amp; Drivers'!$E$19)+(F36*'Key Assumptions &amp; Drivers'!$E$22)</f>
        <v>1.18639798673069</v>
      </c>
      <c r="G37" s="680">
        <f>(G35*'Key Assumptions &amp; Drivers'!$E$19)+(G36*'Key Assumptions &amp; Drivers'!$E$22)</f>
        <v>1.20437442710634</v>
      </c>
      <c r="H37" s="680">
        <f>(H35*'Key Assumptions &amp; Drivers'!$E$19)+(H36*'Key Assumptions &amp; Drivers'!$E$22)</f>
        <v>1.22108006095739</v>
      </c>
      <c r="I37" s="680">
        <f>(I35*'Key Assumptions &amp; Drivers'!$E$19)+(I36*'Key Assumptions &amp; Drivers'!$E$22)</f>
        <v>1.23664504324762</v>
      </c>
      <c r="J37" s="680">
        <f>(J35*'Key Assumptions &amp; Drivers'!$E$19)+(J36*'Key Assumptions &amp; Drivers'!$E$22)</f>
        <v>1.25118234188252</v>
      </c>
      <c r="K37" s="680">
        <f>(K35*'Key Assumptions &amp; Drivers'!$E$19)+(K36*'Key Assumptions &amp; Drivers'!$E$22)</f>
        <v>1.26323484020129</v>
      </c>
      <c r="L37" s="680">
        <f>(L35*'Key Assumptions &amp; Drivers'!$E$19)+(L36*'Key Assumptions &amp; Drivers'!$E$22)</f>
        <v>1.27585070247077</v>
      </c>
      <c r="M37" s="680">
        <f>(M35*'Key Assumptions &amp; Drivers'!$E$19)+(M36*'Key Assumptions &amp; Drivers'!$E$22)</f>
        <v>1.28772000252211</v>
      </c>
      <c r="N37" s="680">
        <f>(N35*'Key Assumptions &amp; Drivers'!$E$19)+(N36*'Key Assumptions &amp; Drivers'!$E$22)</f>
        <v>1.29890710431635</v>
      </c>
      <c r="O37" s="680">
        <f>(O35*'Key Assumptions &amp; Drivers'!$E$19)+(O36*'Key Assumptions &amp; Drivers'!$E$22)</f>
        <v>1.30946917975122</v>
      </c>
      <c r="P37" s="680">
        <f>(P35*'Key Assumptions &amp; Drivers'!$E$19)+(P36*'Key Assumptions &amp; Drivers'!$E$22)</f>
        <v>1.31945718591755</v>
      </c>
      <c r="Q37" s="680">
        <f>(Q35*'Key Assumptions &amp; Drivers'!$E$19)+(Q36*'Key Assumptions &amp; Drivers'!$E$22)</f>
        <v>1.31945718591755</v>
      </c>
      <c r="R37" s="680">
        <f>(R35*'Key Assumptions &amp; Drivers'!$E$19)+(R36*'Key Assumptions &amp; Drivers'!$E$22)</f>
        <v>1.32673623553657</v>
      </c>
      <c r="S37" s="680">
        <f>(S35*'Key Assumptions &amp; Drivers'!$E$19)+(S36*'Key Assumptions &amp; Drivers'!$E$22)</f>
        <v>1.33307275722735</v>
      </c>
      <c r="T37" s="680">
        <f>(T35*'Key Assumptions &amp; Drivers'!$E$19)+(T36*'Key Assumptions &amp; Drivers'!$E$22)</f>
        <v>1.33953682187033</v>
      </c>
      <c r="U37" s="680">
        <f>(U35*'Key Assumptions &amp; Drivers'!$E$19)+(U36*'Key Assumptions &amp; Drivers'!$E$22)</f>
        <v>1.34612145085471</v>
      </c>
      <c r="V37" s="209"/>
      <c r="W37" s="209"/>
      <c r="X37" s="209"/>
      <c r="Y37" s="209"/>
      <c r="Z37" s="209"/>
      <c r="AA37" s="209"/>
      <c r="AB37" s="210"/>
    </row>
  </sheetData>
  <mergeCells count="2">
    <mergeCell ref="C6:D6"/>
    <mergeCell ref="C9:D9"/>
  </mergeCells>
  <pageMargins left="0" right="0" top="0.75" bottom="0.75" header="0.3" footer="0.3"/>
  <pageSetup firstPageNumber="1" fitToHeight="1" fitToWidth="1" scale="99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